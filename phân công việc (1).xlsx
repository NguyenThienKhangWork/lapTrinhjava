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ang\Downloads\"/>
    </mc:Choice>
  </mc:AlternateContent>
  <xr:revisionPtr revIDLastSave="0" documentId="13_ncr:1_{69F5F74A-9D1D-4007-B11F-8CF9FCE930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quan" sheetId="1" r:id="rId1"/>
    <sheet name="Kế hoạch 6 tuần" sheetId="2" r:id="rId2"/>
    <sheet name="Gantt tổng quan" sheetId="3" r:id="rId3"/>
    <sheet name="Tích hợp &amp; Kiểm thử" sheetId="4" r:id="rId4"/>
    <sheet name="Dashboard" sheetId="5" r:id="rId5"/>
  </sheets>
  <definedNames>
    <definedName name="_xlnm._FilterDatabase" localSheetId="1" hidden="1">'Kế hoạch 6 tuần'!$A$4:$L$46</definedName>
    <definedName name="_xlnm.Print_Area" localSheetId="4">Dashboard!$A$1:$P$40</definedName>
    <definedName name="_xlnm.Print_Area" localSheetId="2">'Gantt tổng quan'!$A$1:$G$19</definedName>
    <definedName name="_xlnm.Print_Area" localSheetId="1">'Kế hoạch 6 tuần'!$A$1:$L$46</definedName>
    <definedName name="_xlnm.Print_Area" localSheetId="3">'Tích hợp &amp; Kiểm thử'!$A$1:$F$28</definedName>
    <definedName name="_xlnm.Print_Area" localSheetId="0">'Tổng quan'!$A$1:$G$18</definedName>
    <definedName name="_xlnm.Print_Titles" localSheetId="4">Dashboard!$4:$4</definedName>
    <definedName name="_xlnm.Print_Titles" localSheetId="2">'Gantt tổng quan'!$4:$4</definedName>
    <definedName name="_xlnm.Print_Titles" localSheetId="1">'Kế hoạch 6 tuần'!$4:$4</definedName>
    <definedName name="_xlnm.Print_Titles" localSheetId="3">'Tích hợp &amp; Kiểm thử'!$5:$5</definedName>
    <definedName name="_xlnm.Print_Titles" localSheetId="0">'Tổng quan'!$6:$6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5" l="1"/>
  <c r="E20" i="5" s="1"/>
  <c r="C20" i="5"/>
  <c r="D19" i="5"/>
  <c r="E19" i="5" s="1"/>
  <c r="C19" i="5"/>
  <c r="D18" i="5"/>
  <c r="E18" i="5" s="1"/>
  <c r="C18" i="5"/>
  <c r="D17" i="5"/>
  <c r="E17" i="5" s="1"/>
  <c r="C17" i="5"/>
  <c r="D16" i="5"/>
  <c r="E16" i="5" s="1"/>
  <c r="C16" i="5"/>
  <c r="D15" i="5"/>
  <c r="E15" i="5" s="1"/>
  <c r="C15" i="5"/>
  <c r="G11" i="5"/>
  <c r="F11" i="5"/>
  <c r="H11" i="5" s="1"/>
  <c r="E11" i="5"/>
  <c r="D11" i="5"/>
  <c r="C11" i="5"/>
  <c r="G10" i="5"/>
  <c r="F10" i="5"/>
  <c r="H10" i="5" s="1"/>
  <c r="E10" i="5"/>
  <c r="D10" i="5"/>
  <c r="C10" i="5"/>
  <c r="G9" i="5"/>
  <c r="F9" i="5"/>
  <c r="H9" i="5" s="1"/>
  <c r="E9" i="5"/>
  <c r="D9" i="5"/>
  <c r="C9" i="5"/>
  <c r="G8" i="5"/>
  <c r="F8" i="5"/>
  <c r="H8" i="5" s="1"/>
  <c r="E8" i="5"/>
  <c r="D8" i="5"/>
  <c r="C8" i="5"/>
  <c r="G7" i="5"/>
  <c r="F7" i="5"/>
  <c r="H7" i="5" s="1"/>
  <c r="E7" i="5"/>
  <c r="D7" i="5"/>
  <c r="C7" i="5"/>
  <c r="G6" i="5"/>
  <c r="F6" i="5"/>
  <c r="H6" i="5" s="1"/>
  <c r="E6" i="5"/>
  <c r="D6" i="5"/>
  <c r="C6" i="5"/>
  <c r="G5" i="5"/>
  <c r="F5" i="5"/>
  <c r="E5" i="5"/>
  <c r="D5" i="5"/>
  <c r="C5" i="5"/>
  <c r="C12" i="5" s="1"/>
  <c r="G5" i="3"/>
  <c r="F5" i="3"/>
  <c r="E5" i="3"/>
  <c r="D5" i="3"/>
  <c r="C5" i="3"/>
  <c r="B5" i="3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D12" i="5" l="1"/>
  <c r="B23" i="5" s="1"/>
  <c r="G12" i="5"/>
  <c r="B26" i="5" s="1"/>
  <c r="F12" i="5"/>
  <c r="B25" i="5" s="1"/>
  <c r="E12" i="5"/>
  <c r="B24" i="5" s="1"/>
  <c r="H5" i="5"/>
  <c r="H12" i="5" l="1"/>
</calcChain>
</file>

<file path=xl/sharedStrings.xml><?xml version="1.0" encoding="utf-8"?>
<sst xmlns="http://schemas.openxmlformats.org/spreadsheetml/2006/main" count="558" uniqueCount="253">
  <si>
    <t>📋 BẢNG PHÂN CÔNG CÔNG VIỆC 6 TUẦN — DỰ ÁN AITASKER</t>
  </si>
  <si>
    <t>Quy trình Git: tạo feature branch từ develop → commit thường xuyên → Pull Request → review (≥1 người) → merge vào develop</t>
  </si>
  <si>
    <t>Ngày bắt đầu dự án (Thứ 2 – Tuần 1):</t>
  </si>
  <si>
    <t>← Chỉnh sửa ô này để tự động cập nhật mọi mốc ngày trong file</t>
  </si>
  <si>
    <t>STT</t>
  </si>
  <si>
    <t>Developer</t>
  </si>
  <si>
    <t>Họ và tên</t>
  </si>
  <si>
    <t>Vai trò / Phân hệ phụ trách</t>
  </si>
  <si>
    <t>Nhánh Git (Feature Branch)</t>
  </si>
  <si>
    <t>Module Backend chính</t>
  </si>
  <si>
    <t>Trang Frontend chính</t>
  </si>
  <si>
    <t>Dev 1</t>
  </si>
  <si>
    <t>Khang Nguyễn Thiên</t>
  </si>
  <si>
    <t>Xác thực, Phân quyền, Quản lý Thành viên &amp; Landing Page</t>
  </si>
  <si>
    <t>feature/dev1-auth-profile</t>
  </si>
  <si>
    <t>security/*, AuthController, UserController</t>
  </si>
  <si>
    <t>Login.jsx, Register.jsx, Landing.jsx</t>
  </si>
  <si>
    <t>Dev 2</t>
  </si>
  <si>
    <t>Vũ Mai Vũ Đại</t>
  </si>
  <si>
    <t>Đăng việc &amp; Đề xuất báo giá (Jobs &amp; Proposals)</t>
  </si>
  <si>
    <t>feature/dev2-jobs-proposals</t>
  </si>
  <si>
    <t>JobPostController, ProposalController</t>
  </si>
  <si>
    <t>PostJob.jsx, BrowseJobs.jsx, JobDetail.jsx</t>
  </si>
  <si>
    <t>Dev 3</t>
  </si>
  <si>
    <t>Trịnh Ngân Giang</t>
  </si>
  <si>
    <t>Quản lý Dự án &amp; Cột mốc (Projects &amp; Milestones)</t>
  </si>
  <si>
    <t>feature/dev3-projects-milestones</t>
  </si>
  <si>
    <t>ProjectController, MilestoneController</t>
  </si>
  <si>
    <t>ProjectDetail.jsx, ClientDashboard.jsx, ExpertDashboard.jsx</t>
  </si>
  <si>
    <t>Dev 4</t>
  </si>
  <si>
    <t>Nguyễn Trí Quý</t>
  </si>
  <si>
    <t>Giao dịch, Ký quỹ &amp; Rút tiền (Payments &amp; Escrow)</t>
  </si>
  <si>
    <t>feature/dev4-payments-escrow</t>
  </si>
  <si>
    <t>PaymentController, WithdrawalController</t>
  </si>
  <si>
    <t>TransactionHistory.jsx</t>
  </si>
  <si>
    <t>Dev 5</t>
  </si>
  <si>
    <t>huynhnhatkhanhdtkt</t>
  </si>
  <si>
    <t>Tích hợp AI &amp; Gợi ý thông minh (AI Co-pilot)</t>
  </si>
  <si>
    <t>feature/dev5-ai-copilot</t>
  </si>
  <si>
    <t>AiController, AiService (Gemini API)</t>
  </si>
  <si>
    <t>Nút AI trong PostJob.jsx, ExpertServices.jsx</t>
  </si>
  <si>
    <t>Dev 6</t>
  </si>
  <si>
    <t>nhanbq</t>
  </si>
  <si>
    <t>Gói Dịch vụ &amp; Đánh giá (Services Marketplace &amp; Reviews)</t>
  </si>
  <si>
    <t>feature/dev6-services-reviews</t>
  </si>
  <si>
    <t>ServiceListingController, ReviewController</t>
  </si>
  <si>
    <t>Marketplace.jsx, ExpertServices.jsx, ExpertProfile.jsx, ReviewPage.jsx</t>
  </si>
  <si>
    <t>Dev 7</t>
  </si>
  <si>
    <t>Nguyễn Duy Tân</t>
  </si>
  <si>
    <t>Chat Realtime, Thông báo &amp; Quản trị (Chat/Admin)</t>
  </si>
  <si>
    <t>feature/dev7-chat-admin</t>
  </si>
  <si>
    <t>ChatController/WebSocketConfig, AdminController</t>
  </si>
  <si>
    <t>ChatList.jsx, Notifications.jsx, AdminDashboard.jsx</t>
  </si>
  <si>
    <t>Chú thích màu Trạng thái (dùng ở các sheet 'Kế hoạch 6 tuần' và 'Tích hợp &amp; Kiểm thử')</t>
  </si>
  <si>
    <t>Chưa bắt đầu</t>
  </si>
  <si>
    <t>Đang thực hiện</t>
  </si>
  <si>
    <t>Hoàn thành</t>
  </si>
  <si>
    <t>Trễ hạn</t>
  </si>
  <si>
    <t>Ghi chú: Tuần 1 bắt đầu từ Thứ 2 (ngày ở ô D4). Có 7 developer × 6 tuần = 42 nhiệm vụ chính, chi tiết tại sheet 'Kế hoạch 6 tuần'.</t>
  </si>
  <si>
    <t>📅 KẾ HOẠCH PHÂN CÔNG CHI TIẾT — 6 TUẦN</t>
  </si>
  <si>
    <t>Cập nhật cột 'Trạng thái' (danh sách thả xuống) và 'Ghi chú' hằng tuần để theo dõi tiến độ — sheet 'Dashboard' sẽ tự tính lại.</t>
  </si>
  <si>
    <t>Tuần</t>
  </si>
  <si>
    <t>Giai đoạn</t>
  </si>
  <si>
    <t>Nhiệm vụ Backend</t>
  </si>
  <si>
    <t>Nhiệm vụ Frontend</t>
  </si>
  <si>
    <t>Tích hợp / Phối hợp</t>
  </si>
  <si>
    <t>Ngày bắt đầu</t>
  </si>
  <si>
    <t>Ngày kết thúc</t>
  </si>
  <si>
    <t>Trạng thái</t>
  </si>
  <si>
    <t>Ghi chú</t>
  </si>
  <si>
    <t>Đồng bộ hạ tầng &amp; Thiết kế Entity</t>
  </si>
  <si>
    <t>Cấu hình Spring Security, JWT Filter, PasswordEncoder. Tạo Entity User.java, UserRole enum.</t>
  </si>
  <si>
    <t>—</t>
  </si>
  <si>
    <t>Đẩy code lên develop sớm nhất để cả nhóm có bộ khung bảo mật + tài khoản mẫu (DataSeeder) để test.</t>
  </si>
  <si>
    <t>Thiết kế Entity JobPost, Proposal, JobStatus &amp; ProposalStatus enum.</t>
  </si>
  <si>
    <t>Đọc tài liệu API Auth của Dev 1, kéo code mới nhất từ develop.</t>
  </si>
  <si>
    <t>Thiết kế Entity Project, Milestone, ProjectStatus &amp; MilestoneStatus enum.</t>
  </si>
  <si>
    <t>Kéo code mới nhất từ develop.</t>
  </si>
  <si>
    <t>Thiết kế Entity Payment, Withdrawal, PaymentStatus/EscrowStatus/WithdrawalStatus enum.</t>
  </si>
  <si>
    <t>Nghiên cứu Gemini API, đăng ký API Key, thiết kế AiModule entity (log sử dụng AI).</t>
  </si>
  <si>
    <t>Thiết kế Entity ServiceListing, Review.</t>
  </si>
  <si>
    <t>Thiết kế Entity Message, Dispute; lên kế hoạch cấu hình WebSocket.</t>
  </si>
  <si>
    <t>Phát triển Backend - Giai đoạn 1</t>
  </si>
  <si>
    <t>Hoàn thiện AuthController &amp; AuthService (đăng ký, đăng nhập, sinh JWT).</t>
  </si>
  <si>
    <t>Test API trên Swagger, cung cấp JWT mẫu cho cả nhóm.</t>
  </si>
  <si>
    <t>JobPostController &amp; JobPostService (CRUD, lọc và tìm kiếm bài tuyển dụng).</t>
  </si>
  <si>
    <t>Test API trên Swagger.</t>
  </si>
  <si>
    <t>ProjectController &amp; ProjectService (quản lý trạng thái: đang chạy, hoàn thành, tạm dừng).</t>
  </si>
  <si>
    <t>PaymentController &amp; PaymentService (tạo thanh toán ký quỹ, giữ tiền, giải ngân, hoàn tiền).</t>
  </si>
  <si>
    <t>AiController &amp; AiService kết nối Gemini API qua RestTemplate/WebClient.</t>
  </si>
  <si>
    <t>ServiceListingController &amp; ServiceListingService (Expert đăng gói dịch vụ, Client xem).</t>
  </si>
  <si>
    <t>ChatController &amp; ChatService/WebSocketConfig (giao thức STOMP).</t>
  </si>
  <si>
    <t>Test kết nối WebSocket.</t>
  </si>
  <si>
    <t>Phát triển Backend - Giai đoạn 2 &amp; Khởi động Frontend</t>
  </si>
  <si>
    <t>Hoàn thiện UserController &amp; UserService (xem/sửa hồ sơ, quản lý số dư).</t>
  </si>
  <si>
    <t>Bắt đầu AuthContext.jsx (quản lý trạng thái đăng nhập toàn ứng dụng).</t>
  </si>
  <si>
    <t>ProposalController &amp; ProposalService (Expert gửi báo giá, Client xem danh sách báo giá).</t>
  </si>
  <si>
    <t>Bắt đầu PostJob.jsx.</t>
  </si>
  <si>
    <t>MilestoneController &amp; MilestoneService (nộp sản phẩm, duyệt/yêu cầu sửa đổi).</t>
  </si>
  <si>
    <t>Bắt đầu ProjectDetail.jsx.</t>
  </si>
  <si>
    <t>WithdrawalController &amp; WithdrawalService (yêu cầu rút tiền, trừ số dư ảo, chờ duyệt).</t>
  </si>
  <si>
    <t>Bắt đầu TransactionHistory.jsx.</t>
  </si>
  <si>
    <t>AI Job Assistant API (chuẩn hóa mô tả, gợi ý ngân sách &amp; skill tags).</t>
  </si>
  <si>
    <t>ReviewController &amp; ReviewService (gửi đánh giá, tự tính lại rating trung bình).</t>
  </si>
  <si>
    <t>Bắt đầu Marketplace.jsx.</t>
  </si>
  <si>
    <t>AdminController &amp; AdminService/DisputeRepository (phân xử tranh chấp).</t>
  </si>
  <si>
    <t>Bắt đầu ChatList.jsx.</t>
  </si>
  <si>
    <t>Phát triển Frontend</t>
  </si>
  <si>
    <t>Login.jsx, Register.jsx (chọn vai trò Client/Expert, lưu JWT, kết nối API thật).</t>
  </si>
  <si>
    <t>Cung cấp hook useAuth (user.role, user.email) cho các Dev khác.</t>
  </si>
  <si>
    <t>Hoàn thiện PostJob.jsx, BrowseJobs.jsx (lọc, tìm kiếm việc làm trống).</t>
  </si>
  <si>
    <t>Hoàn thiện ProjectDetail.jsx (danh sách Milestone, Expert nộp bài, Client duyệt nghiệm thu).</t>
  </si>
  <si>
    <t>Hoàn thiện TransactionHistory.jsx (lịch sử ký quỹ, giải ngân, rút tiền).</t>
  </si>
  <si>
    <t>AI Service Generator API; AI Recommendation Engine API (đối sánh skill Expert với Job).</t>
  </si>
  <si>
    <t>Hoàn thiện Marketplace.jsx, ExpertServices.jsx (thêm/sửa/xóa gói dịch vụ).</t>
  </si>
  <si>
    <t>Hoàn thiện ChatList.jsx (chat realtime, đính kèm file demo), Notifications.jsx.</t>
  </si>
  <si>
    <t>Tích hợp liên module (Cross-team Integration)</t>
  </si>
  <si>
    <t>Landing.jsx (SPA React) và trang tĩnh landingpage/ (index.html, style.css, script.js).</t>
  </si>
  <si>
    <t>Hỗ trợ các Dev khác test API qua Swagger/Postman.</t>
  </si>
  <si>
    <t>JobDetail.jsx (nút duyệt báo giá cho Client; form báo giá/cover letter cho Expert).</t>
  </si>
  <si>
    <t>Nút 'Tối ưu hóa bằng AI' trong PostJob.jsx với Dev 5; Proposal ACCEPTED → tự động tạo Project với Dev 3.</t>
  </si>
  <si>
    <t>ClientDashboard.jsx, ExpertDashboard.jsx (danh sách dự án đang tham gia).</t>
  </si>
  <si>
    <t>Milestone APPROVED → tự động giải ngân với Dev 4; chuyển trạng thái Tranh chấp với Dev 7.</t>
  </si>
  <si>
    <t>Form tạo yêu cầu rút tiền; giao diện nạp tiền ký quỹ (giả lập).</t>
  </si>
  <si>
    <t>Cung cấp API giải ngân cho Dev 3; API duyệt yêu cầu rút tiền cho Dev 7.</t>
  </si>
  <si>
    <t>Tích hợp nút AI vào PostJob.jsx (Dev 2) và ExpertServices.jsx (Dev 6); mục 'Gợi ý từ AI' trong Dashboard.</t>
  </si>
  <si>
    <t>Phối hợp chặt với Dev 2 &amp; Dev 6 để không xung đột giao diện.</t>
  </si>
  <si>
    <t>ExpertProfile.jsx, ReviewPage.jsx (chọn số sao 1-5, nhập bình luận).</t>
  </si>
  <si>
    <t>AI sinh mô tả dịch vụ với Dev 5; nút 'Viết đánh giá' khi Project COMPLETED với Dev 3.</t>
  </si>
  <si>
    <t>AdminDashboard.jsx (duyệt rút tiền, phân xử tranh chấp, khóa/mở tài khoản).</t>
  </si>
  <si>
    <t>Cung cấp API bắn thông báo tự động cho cả nhóm; nút 'Tranh chấp' đổ dữ liệu từ Dev 3.</t>
  </si>
  <si>
    <t>Kiểm thử toàn diện, sửa lỗi &amp; Hoàn thiện</t>
  </si>
  <si>
    <t>Rà soát &amp; sửa lỗi luồng Auth/Security.</t>
  </si>
  <si>
    <t>Hoàn thiện chi tiết giao diện Login/Register/Landing.</t>
  </si>
  <si>
    <t>Gửi PR vào develop, review chéo. Kiểm thử bước 1: Đăng ký/Đăng nhập (Client &amp; Expert) → Xem thông tin.</t>
  </si>
  <si>
    <t>Rà soát &amp; sửa lỗi JobPost/Proposal.</t>
  </si>
  <si>
    <t>Hoàn thiện chi tiết giao diện JobDetail.jsx.</t>
  </si>
  <si>
    <t>Gửi PR vào develop. Kiểm thử bước 2: Client đăng việc → Expert gửi báo giá.</t>
  </si>
  <si>
    <t>Rà soát &amp; sửa lỗi Project/Milestone.</t>
  </si>
  <si>
    <t>Hoàn thiện 2 Dashboard theo vai trò Client/Expert.</t>
  </si>
  <si>
    <t>Gửi PR vào develop. Kiểm thử bước 3 &amp; 7: Chấp nhận báo giá → Tạo dự án; Expert nộp sản phẩm → Client duyệt.</t>
  </si>
  <si>
    <t>Rà soát &amp; sửa lỗi Payment/Withdrawal, kiểm tra bảo toàn số dư.</t>
  </si>
  <si>
    <t>Hoàn thiện giao diện lịch sử giao dịch.</t>
  </si>
  <si>
    <t>Gửi PR vào develop. Kiểm thử bước 4, 8, 9: Ký quỹ; giải ngân; rút tiền → Admin duyệt.</t>
  </si>
  <si>
    <t>Rà soát lỗi, kiểm soát chi phí/độ trễ khi gọi Gemini API.</t>
  </si>
  <si>
    <t>Hoàn thiện trải nghiệm trợ lý AI trên các form.</t>
  </si>
  <si>
    <t>Gửi PR vào develop. Kiểm thử bước 6: Dùng AI hỗ trợ sinh nội dung/báo cáo.</t>
  </si>
  <si>
    <t>Rà soát &amp; sửa lỗi Service/Review.</t>
  </si>
  <si>
    <t>Hoàn thiện ExpertProfile.jsx, ReviewPage.jsx.</t>
  </si>
  <si>
    <t>Gửi PR vào develop. Kiểm thử bước 8: Viết đánh giá chất lượng sau khi giải ngân.</t>
  </si>
  <si>
    <t>Rà soát &amp; sửa lỗi Chat/Admin/Notification.</t>
  </si>
  <si>
    <t>Hoàn thiện AdminDashboard.jsx.</t>
  </si>
  <si>
    <t>Gửi PR vào develop. Kiểm thử bước 5 &amp; 9: Chat realtime; Admin duyệt rút tiền.</t>
  </si>
  <si>
    <t>📊 GANTT TỔNG QUAN — 7 DEVELOPER × 6 TUẦN</t>
  </si>
  <si>
    <t>Mỗi ô tóm tắt trọng tâm công việc của 1 Developer trong 1 tuần. Ngày cụ thể tự tính từ ngày bắt đầu ở sheet 'Tổng quan'.</t>
  </si>
  <si>
    <t>Tuần 1</t>
  </si>
  <si>
    <t>Tuần 2</t>
  </si>
  <si>
    <t>Tuần 3</t>
  </si>
  <si>
    <t>Tuần 4</t>
  </si>
  <si>
    <t>Tuần 5</t>
  </si>
  <si>
    <t>Tuần 6</t>
  </si>
  <si>
    <t>Dev 1 – Khang Nguyễn Thiên</t>
  </si>
  <si>
    <t>Security + Entity</t>
  </si>
  <si>
    <t>AuthController/Service</t>
  </si>
  <si>
    <t>UserController+AuthContext</t>
  </si>
  <si>
    <t>Login/Register.jsx</t>
  </si>
  <si>
    <t>Landing.jsx + Hỗ trợ nhóm</t>
  </si>
  <si>
    <t>Kiểm thử &amp; PR</t>
  </si>
  <si>
    <t>Dev 2 – Vũ Mai Vũ Đại</t>
  </si>
  <si>
    <t>Entity Job/Proposal</t>
  </si>
  <si>
    <t>JobPostController</t>
  </si>
  <si>
    <t>ProposalController+PostJob</t>
  </si>
  <si>
    <t>PostJob/BrowseJobs.jsx</t>
  </si>
  <si>
    <t>JobDetail.jsx + Tích hợp AI</t>
  </si>
  <si>
    <t>Dev 3 – Trịnh Ngân Giang</t>
  </si>
  <si>
    <t>Entity Project/MS</t>
  </si>
  <si>
    <t>ProjectController</t>
  </si>
  <si>
    <t>MilestoneController+UI</t>
  </si>
  <si>
    <t>ProjectDetail.jsx</t>
  </si>
  <si>
    <t>2 Dashboard + Tích hợp</t>
  </si>
  <si>
    <t>Dev 4 – Nguyễn Trí Quý</t>
  </si>
  <si>
    <t>Entity Payment</t>
  </si>
  <si>
    <t>PaymentController</t>
  </si>
  <si>
    <t>WithdrawalController+UI</t>
  </si>
  <si>
    <t>UI nạp/rút tiền + Tích hợp</t>
  </si>
  <si>
    <t>Dev 5 – huynhnhatkhanhdtkt</t>
  </si>
  <si>
    <t>Nghiên cứu Gemini API</t>
  </si>
  <si>
    <t>AiController/Service</t>
  </si>
  <si>
    <t>AI Job Assistant API</t>
  </si>
  <si>
    <t>AI Service Gen + Recommend</t>
  </si>
  <si>
    <t>Tích hợp UI AI</t>
  </si>
  <si>
    <t>Dev 6 – nhanbq</t>
  </si>
  <si>
    <t>Entity Service/Review</t>
  </si>
  <si>
    <t>ServiceListingController</t>
  </si>
  <si>
    <t>ReviewController+UI</t>
  </si>
  <si>
    <t>Marketplace/Services.jsx</t>
  </si>
  <si>
    <t>Profile/ReviewPage.jsx</t>
  </si>
  <si>
    <t>Dev 7 – Nguyễn Duy Tân</t>
  </si>
  <si>
    <t>Entity Msg/Dispute</t>
  </si>
  <si>
    <t>Chat + WebSocketConfig</t>
  </si>
  <si>
    <t>AdminController+ChatList</t>
  </si>
  <si>
    <t>Chat/Notifications.jsx</t>
  </si>
  <si>
    <t>AdminDashboard.jsx</t>
  </si>
  <si>
    <t>Chú thích màu theo giai đoạn</t>
  </si>
  <si>
    <t>Tuần 1 — Thiết kế Entity &amp; Chuẩn bị</t>
  </si>
  <si>
    <t>Tuần 2-3 — Phát triển Backend (API)</t>
  </si>
  <si>
    <t>Tuần 4 — Phát triển Frontend (UI)</t>
  </si>
  <si>
    <t>Tuần 5 — Tích hợp liên module</t>
  </si>
  <si>
    <t>Tuần 6 — Kiểm thử &amp; Hoàn thiện</t>
  </si>
  <si>
    <t>🔗 ĐIỂM TÍCH HỢP GIỮA CÁC DEVELOPER &amp; KỊCH BẢN KIỂM THỬ</t>
  </si>
  <si>
    <t>Tổng hợp từ mục 'Điểm tích hợp với Dev khác' của từng người và kịch bản kiểm thử toàn luồng nghiệp vụ (Tuần 6).</t>
  </si>
  <si>
    <t>A. CÁC ĐIỂM TÍCH HỢP GIỮA CÁC DEVELOPER</t>
  </si>
  <si>
    <t>Dev phụ trách</t>
  </si>
  <si>
    <t>Phối hợp với</t>
  </si>
  <si>
    <t>Nội dung tích hợp</t>
  </si>
  <si>
    <t>Tuần dự kiến</t>
  </si>
  <si>
    <t>Tất cả</t>
  </si>
  <si>
    <t>Cung cấp API đăng nhập &amp; JWT token mẫu để cả nhóm test API trên Swagger/Postman.</t>
  </si>
  <si>
    <t>Cung cấp hook useAuth (user.role, user.email) cho Frontend của các Dev khác.</t>
  </si>
  <si>
    <t>Tích hợp nút 'Tối ưu hóa bằng AI' vào giao diện PostJob.jsx.</t>
  </si>
  <si>
    <t>Duyệt Proposal (ACCEPTED) → tự động khởi tạo Project mới.</t>
  </si>
  <si>
    <t>Duyệt Milestone (APPROVED) → tự động giải ngân tiền ký quỹ cho Expert.</t>
  </si>
  <si>
    <t>Milestone/Project bị từ chối → chuyển trạng thái Tranh chấp (Dispute) cho Admin.</t>
  </si>
  <si>
    <t>Cung cấp API duyệt yêu cầu rút tiền cho trang quản trị Admin.</t>
  </si>
  <si>
    <t>Dev 2 &amp; Dev 6</t>
  </si>
  <si>
    <t>Tích hợp nút AI vào form PostJob.jsx và ExpertServices.jsx không xung đột giao diện.</t>
  </si>
  <si>
    <t>Nút 'Viết đánh giá' hiển thị ở trang chi tiết dự án khi Project chuyển COMPLETED.</t>
  </si>
  <si>
    <t>Cấu hình WebSocket + API bắn thông báo tự động (VD: Dev 2 duyệt Proposal → báo Expert).</t>
  </si>
  <si>
    <t>Nút 'Tranh chấp' đổ dữ liệu về trang phân xử tranh chấp của Admin.</t>
  </si>
  <si>
    <t>B. KỊCH BẢN KIỂM THỬ TÍCH HỢP CUỐI CÙNG (TUẦN 6)</t>
  </si>
  <si>
    <t>Bước</t>
  </si>
  <si>
    <t>Developer phụ trách</t>
  </si>
  <si>
    <t>Nội dung kiểm thử</t>
  </si>
  <si>
    <t>Đăng ký / Đăng nhập (Client &amp; Expert) → Xem thông tin cá nhân.</t>
  </si>
  <si>
    <t>Client đăng việc → Expert gửi báo giá.</t>
  </si>
  <si>
    <t>Client chấp nhận báo giá → Tạo dự án.</t>
  </si>
  <si>
    <t>Client ký quỹ (Escrow) tiền dự án.</t>
  </si>
  <si>
    <t>Client và Expert chat realtime bàn bạc công việc.</t>
  </si>
  <si>
    <t>Dùng AI hỗ trợ viết báo cáo / sinh nội dung mô tả.</t>
  </si>
  <si>
    <t>Expert nộp sản phẩm → Client duyệt nghiệm thu.</t>
  </si>
  <si>
    <t>Dev 4 &amp; Dev 6</t>
  </si>
  <si>
    <t>Tiền tự động giải ngân cho Expert → Viết đánh giá chất lượng.</t>
  </si>
  <si>
    <t>Dev 4 &amp; Dev 7</t>
  </si>
  <si>
    <t>Expert tạo lệnh rút tiền → Admin duyệt chuyển khoản thành công.</t>
  </si>
  <si>
    <t>📈 DASHBOARD THEO DÕI TIẾN ĐỘ</t>
  </si>
  <si>
    <t>Toàn bộ số liệu bên dưới tự động tính từ cột 'Trạng thái' ở sheet 'Kế hoạch 6 tuần' — không cần nhập tay.</t>
  </si>
  <si>
    <t>Tổng số nhiệm vụ</t>
  </si>
  <si>
    <t>% Hoàn thành</t>
  </si>
  <si>
    <t>TỔNG CỘNG</t>
  </si>
  <si>
    <t>Tổng nhiệm vụ</t>
  </si>
  <si>
    <t>Số lượng</t>
  </si>
  <si>
    <t>huỳnh nhật khanh</t>
  </si>
  <si>
    <t>bùi quang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</si>
</sst>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Tuần &quot;0"/>
    <numFmt numFmtId="166" formatCode="0.0%"/>
  </numFmts>
  <fonts count="24" x14ac:knownFonts="1">
    <font>
      <sz val="11"/>
      <color theme="1"/>
      <name val="Arial"/>
      <family val="2"/>
      <scheme val="minor"/>
    </font>
    <font>
      <b/>
      <sz val="15"/>
      <color rgb="FFFFFFFF"/>
      <name val="Arial"/>
    </font>
    <font>
      <i/>
      <sz val="10"/>
      <color rgb="FF404040"/>
      <name val="Arial"/>
    </font>
    <font>
      <b/>
      <sz val="10"/>
      <color rgb="FF1F4E78"/>
      <name val="Arial"/>
    </font>
    <font>
      <b/>
      <sz val="11"/>
      <color rgb="FF0000FF"/>
      <name val="Arial"/>
    </font>
    <font>
      <i/>
      <sz val="8"/>
      <color rgb="FF7F7F7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9"/>
      <color rgb="FF595959"/>
      <name val="Arial"/>
    </font>
    <font>
      <b/>
      <sz val="9"/>
      <color rgb="FF9C6500"/>
      <name val="Arial"/>
    </font>
    <font>
      <b/>
      <sz val="9"/>
      <color rgb="FF006100"/>
      <name val="Arial"/>
    </font>
    <font>
      <b/>
      <sz val="9"/>
      <color rgb="FF9C0006"/>
      <name val="Arial"/>
    </font>
    <font>
      <sz val="10"/>
      <color rgb="FF006100"/>
      <name val="Arial"/>
    </font>
    <font>
      <b/>
      <sz val="9"/>
      <color rgb="FF404040"/>
      <name val="Arial"/>
    </font>
    <font>
      <b/>
      <sz val="9"/>
      <color rgb="FF1F4E78"/>
      <name val="Arial"/>
    </font>
    <font>
      <b/>
      <sz val="9"/>
      <color rgb="FF375623"/>
      <name val="Arial"/>
    </font>
    <font>
      <b/>
      <sz val="9"/>
      <color rgb="FF833C00"/>
      <name val="Arial"/>
    </font>
    <font>
      <b/>
      <sz val="9"/>
      <color rgb="FF5A2D6E"/>
      <name val="Arial"/>
    </font>
    <font>
      <b/>
      <sz val="10"/>
      <color rgb="FF595959"/>
      <name val="Arial"/>
    </font>
    <font>
      <b/>
      <sz val="10"/>
      <color rgb="FF9C6500"/>
      <name val="Arial"/>
    </font>
    <font>
      <b/>
      <sz val="10"/>
      <color rgb="FF006100"/>
      <name val="Arial"/>
    </font>
    <font>
      <b/>
      <sz val="10"/>
      <color rgb="FF9C0006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9DB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EEF2FA"/>
      </patternFill>
    </fill>
    <fill>
      <patternFill patternType="solid">
        <fgColor rgb="FF2E75B6"/>
      </patternFill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DF0"/>
      </patternFill>
    </fill>
    <fill>
      <patternFill patternType="solid">
        <fgColor rgb="FFF5F7FB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E4C7F1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</borders>
  <cellStyleXfs count="1">
    <xf numFmtId="0" fontId="0" fillId="0" borderId="0"/>
  </cellStyleXfs>
  <cellXfs count="84">
    <xf numFmtId="0" fontId="0" fillId="0" borderId="0" xfId="0"/>
    <xf numFmtId="164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10" fillId="0" borderId="1" xfId="0" applyFont="1" applyBorder="1"/>
    <xf numFmtId="0" fontId="0" fillId="9" borderId="1" xfId="0" applyFill="1" applyBorder="1"/>
    <xf numFmtId="0" fontId="11" fillId="0" borderId="1" xfId="0" applyFont="1" applyBorder="1"/>
    <xf numFmtId="0" fontId="0" fillId="10" borderId="1" xfId="0" applyFill="1" applyBorder="1"/>
    <xf numFmtId="0" fontId="12" fillId="0" borderId="1" xfId="0" applyFont="1" applyBorder="1"/>
    <xf numFmtId="0" fontId="0" fillId="11" borderId="1" xfId="0" applyFill="1" applyBorder="1"/>
    <xf numFmtId="0" fontId="13" fillId="0" borderId="1" xfId="0" applyFont="1" applyBorder="1"/>
    <xf numFmtId="0" fontId="7" fillId="5" borderId="2" xfId="0" applyFont="1" applyFill="1" applyBorder="1" applyAlignment="1">
      <alignment horizontal="center" vertical="center" wrapText="1"/>
    </xf>
    <xf numFmtId="165" fontId="8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164" fontId="14" fillId="5" borderId="2" xfId="0" applyNumberFormat="1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165" fontId="8" fillId="5" borderId="1" xfId="0" applyNumberFormat="1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center" vertical="center" wrapText="1"/>
    </xf>
    <xf numFmtId="165" fontId="8" fillId="13" borderId="2" xfId="0" applyNumberFormat="1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 wrapText="1"/>
    </xf>
    <xf numFmtId="164" fontId="14" fillId="13" borderId="2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165" fontId="8" fillId="13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center" vertical="center" wrapText="1"/>
    </xf>
    <xf numFmtId="164" fontId="14" fillId="1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165" fontId="7" fillId="5" borderId="1" xfId="0" applyNumberFormat="1" applyFont="1" applyFill="1" applyBorder="1" applyAlignment="1">
      <alignment horizontal="center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166" fontId="8" fillId="5" borderId="1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166" fontId="8" fillId="18" borderId="1" xfId="0" applyNumberFormat="1" applyFont="1" applyFill="1" applyBorder="1" applyAlignment="1">
      <alignment horizontal="center" vertical="center" wrapText="1"/>
    </xf>
    <xf numFmtId="165" fontId="8" fillId="6" borderId="1" xfId="0" applyNumberFormat="1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left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left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0" fontId="0" fillId="0" borderId="1" xfId="0" applyBorder="1"/>
    <xf numFmtId="0" fontId="8" fillId="18" borderId="1" xfId="0" applyFont="1" applyFill="1" applyBorder="1" applyAlignment="1">
      <alignment horizontal="center" vertical="center" wrapText="1"/>
    </xf>
    <xf numFmtId="0" fontId="0" fillId="18" borderId="1" xfId="0" applyFill="1" applyBorder="1"/>
    <xf numFmtId="0" fontId="1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5" fillId="0" borderId="0" xfId="0" applyFont="1" applyAlignment="1">
      <alignment horizontal="left" wrapText="1"/>
    </xf>
    <xf numFmtId="0" fontId="0" fillId="0" borderId="0" xfId="0"/>
    <xf numFmtId="0" fontId="9" fillId="7" borderId="1" xfId="0" applyFont="1" applyFill="1" applyBorder="1" applyAlignment="1">
      <alignment horizontal="left" vertical="center" indent="1"/>
    </xf>
    <xf numFmtId="0" fontId="0" fillId="7" borderId="1" xfId="0" applyFill="1" applyBorder="1"/>
    <xf numFmtId="0" fontId="3" fillId="0" borderId="1" xfId="0" applyFont="1" applyBorder="1" applyAlignment="1">
      <alignment horizontal="left" vertical="center" indent="1"/>
    </xf>
    <xf numFmtId="0" fontId="16" fillId="0" borderId="1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15" fillId="0" borderId="1" xfId="0" applyFont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595959"/>
        <name val="Arial"/>
      </font>
      <fill>
        <patternFill patternType="solid">
          <fgColor rgb="FFD9D9D9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595959"/>
        <name val="Arial"/>
      </font>
      <fill>
        <patternFill patternType="solid">
          <fgColor rgb="FFD9D9D9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595959"/>
        <name val="Arial"/>
      </font>
      <fill>
        <patternFill patternType="solid">
          <f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vi-VN"/>
              <a:t>Tiến độ hoàn thành theo Developer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Dashboard!$H$4</c:f>
              <c:strCache>
                <c:ptCount val="1"/>
                <c:pt idx="0">
                  <c:v>% Hoàn thành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Dashboard!$A$5:$A$11</c:f>
              <c:strCache>
                <c:ptCount val="7"/>
                <c:pt idx="0">
                  <c:v>Dev 1</c:v>
                </c:pt>
                <c:pt idx="1">
                  <c:v>Dev 2</c:v>
                </c:pt>
                <c:pt idx="2">
                  <c:v>Dev 3</c:v>
                </c:pt>
                <c:pt idx="3">
                  <c:v>Dev 4</c:v>
                </c:pt>
                <c:pt idx="4">
                  <c:v>Dev 5</c:v>
                </c:pt>
                <c:pt idx="5">
                  <c:v>Dev 6</c:v>
                </c:pt>
                <c:pt idx="6">
                  <c:v>Dev 7</c:v>
                </c:pt>
              </c:strCache>
            </c:strRef>
          </c:cat>
          <c:val>
            <c:numRef>
              <c:f>Dashboard!$H$5:$H$11</c:f>
              <c:numCache>
                <c:formatCode>0.0%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0.16666666666666666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E-492C-949C-5A111EFDA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Developer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% Hoàn thành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Phân bổ trạng thái công việc toàn dự án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Dashboard!$B$22</c:f>
              <c:strCache>
                <c:ptCount val="1"/>
                <c:pt idx="0">
                  <c:v>Số lượng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Dashboard!$A$23:$A$26</c:f>
              <c:strCache>
                <c:ptCount val="4"/>
                <c:pt idx="0">
                  <c:v>Chưa bắt đầu</c:v>
                </c:pt>
                <c:pt idx="1">
                  <c:v>Đang thực hiện</c:v>
                </c:pt>
                <c:pt idx="2">
                  <c:v>Hoàn thành</c:v>
                </c:pt>
                <c:pt idx="3">
                  <c:v>Trễ hạn</c:v>
                </c:pt>
              </c:strCache>
            </c:strRef>
          </c:cat>
          <c:val>
            <c:numRef>
              <c:f>Dashboard!$B$23:$B$26</c:f>
              <c:numCache>
                <c:formatCode>General</c:formatCode>
                <c:ptCount val="4"/>
                <c:pt idx="0">
                  <c:v>5</c:v>
                </c:pt>
                <c:pt idx="1">
                  <c:v>0</c:v>
                </c:pt>
                <c:pt idx="2">
                  <c:v>37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F-4145-B776-ED6C2A87B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22</xdr:row>
      <xdr:rowOff>0</xdr:rowOff>
    </xdr:from>
    <xdr:ext cx="43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showGridLines="0" tabSelected="1" topLeftCell="A9" workbookViewId="0">
      <selection activeCell="C12" sqref="C12"/>
    </sheetView>
  </sheetViews>
  <sheetFormatPr defaultRowHeight="13.8" x14ac:dyDescent="0.25"/>
  <cols>
    <col min="1" max="1" width="5" customWidth="1"/>
    <col min="2" max="2" width="10" customWidth="1"/>
    <col min="3" max="3" width="20" customWidth="1"/>
    <col min="4" max="4" width="40" customWidth="1"/>
    <col min="5" max="5" width="26" customWidth="1"/>
    <col min="6" max="6" width="30" customWidth="1"/>
    <col min="7" max="7" width="34" customWidth="1"/>
  </cols>
  <sheetData>
    <row r="1" spans="1:8" ht="22.05" customHeight="1" x14ac:dyDescent="0.25">
      <c r="A1" s="71" t="s">
        <v>0</v>
      </c>
      <c r="B1" s="72"/>
      <c r="C1" s="72"/>
      <c r="D1" s="72"/>
      <c r="E1" s="72"/>
      <c r="F1" s="72"/>
      <c r="G1" s="72"/>
    </row>
    <row r="2" spans="1:8" ht="16.05" customHeight="1" x14ac:dyDescent="0.25">
      <c r="A2" s="67" t="s">
        <v>1</v>
      </c>
      <c r="B2" s="68"/>
      <c r="C2" s="68"/>
      <c r="D2" s="68"/>
      <c r="E2" s="68"/>
      <c r="F2" s="68"/>
      <c r="G2" s="68"/>
    </row>
    <row r="4" spans="1:8" ht="19.95" customHeight="1" x14ac:dyDescent="0.25">
      <c r="A4" s="77" t="s">
        <v>2</v>
      </c>
      <c r="B4" s="68"/>
      <c r="C4" s="68"/>
      <c r="D4" s="1">
        <v>46216</v>
      </c>
      <c r="E4" s="2" t="s">
        <v>3</v>
      </c>
    </row>
    <row r="6" spans="1:8" ht="30" customHeigh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8" ht="31.95" customHeight="1" x14ac:dyDescent="0.25">
      <c r="A7" s="4">
        <v>1</v>
      </c>
      <c r="B7" s="5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8" ht="31.95" customHeight="1" x14ac:dyDescent="0.25">
      <c r="A8" s="7">
        <v>2</v>
      </c>
      <c r="B8" s="8" t="s">
        <v>17</v>
      </c>
      <c r="C8" s="9" t="s">
        <v>18</v>
      </c>
      <c r="D8" s="9" t="s">
        <v>19</v>
      </c>
      <c r="E8" s="9" t="s">
        <v>20</v>
      </c>
      <c r="F8" s="9" t="s">
        <v>21</v>
      </c>
      <c r="G8" s="9" t="s">
        <v>22</v>
      </c>
    </row>
    <row r="9" spans="1:8" ht="31.95" customHeight="1" x14ac:dyDescent="0.25">
      <c r="A9" s="4">
        <v>3</v>
      </c>
      <c r="B9" s="5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6" t="s">
        <v>28</v>
      </c>
    </row>
    <row r="10" spans="1:8" ht="31.95" customHeight="1" x14ac:dyDescent="0.25">
      <c r="A10" s="7">
        <v>4</v>
      </c>
      <c r="B10" s="8" t="s">
        <v>29</v>
      </c>
      <c r="C10" s="9" t="s">
        <v>30</v>
      </c>
      <c r="D10" s="9" t="s">
        <v>31</v>
      </c>
      <c r="E10" s="9" t="s">
        <v>32</v>
      </c>
      <c r="F10" s="9" t="s">
        <v>33</v>
      </c>
      <c r="G10" s="9" t="s">
        <v>34</v>
      </c>
    </row>
    <row r="11" spans="1:8" ht="31.95" customHeight="1" x14ac:dyDescent="0.25">
      <c r="A11" s="4">
        <v>5</v>
      </c>
      <c r="B11" s="5" t="s">
        <v>35</v>
      </c>
      <c r="C11" s="6" t="s">
        <v>251</v>
      </c>
      <c r="D11" s="6" t="s">
        <v>37</v>
      </c>
      <c r="E11" s="6" t="s">
        <v>38</v>
      </c>
      <c r="F11" s="6" t="s">
        <v>39</v>
      </c>
      <c r="G11" s="6" t="s">
        <v>40</v>
      </c>
    </row>
    <row r="12" spans="1:8" ht="31.95" customHeight="1" x14ac:dyDescent="0.25">
      <c r="A12" s="7">
        <v>6</v>
      </c>
      <c r="B12" s="8" t="s">
        <v>41</v>
      </c>
      <c r="C12" s="9" t="s">
        <v>252</v>
      </c>
      <c r="D12" s="9" t="s">
        <v>43</v>
      </c>
      <c r="E12" s="9" t="s">
        <v>44</v>
      </c>
      <c r="F12" s="9" t="s">
        <v>45</v>
      </c>
      <c r="G12" s="9" t="s">
        <v>46</v>
      </c>
    </row>
    <row r="13" spans="1:8" ht="31.95" customHeight="1" x14ac:dyDescent="0.25">
      <c r="A13" s="4">
        <v>7</v>
      </c>
      <c r="B13" s="5" t="s">
        <v>47</v>
      </c>
      <c r="C13" s="6" t="s">
        <v>48</v>
      </c>
      <c r="D13" s="6" t="s">
        <v>49</v>
      </c>
      <c r="E13" s="6" t="s">
        <v>50</v>
      </c>
      <c r="F13" s="6" t="s">
        <v>51</v>
      </c>
      <c r="G13" s="6" t="s">
        <v>52</v>
      </c>
    </row>
    <row r="15" spans="1:8" ht="19.95" customHeight="1" x14ac:dyDescent="0.25">
      <c r="A15" s="75" t="s">
        <v>53</v>
      </c>
      <c r="B15" s="76"/>
      <c r="C15" s="76"/>
      <c r="D15" s="76"/>
      <c r="E15" s="76"/>
      <c r="F15" s="76"/>
      <c r="G15" s="76"/>
    </row>
    <row r="16" spans="1:8" ht="18" customHeight="1" x14ac:dyDescent="0.25">
      <c r="A16" s="10"/>
      <c r="B16" s="11" t="s">
        <v>54</v>
      </c>
      <c r="C16" s="12"/>
      <c r="D16" s="13" t="s">
        <v>55</v>
      </c>
      <c r="E16" s="14"/>
      <c r="F16" s="15" t="s">
        <v>56</v>
      </c>
      <c r="G16" s="16"/>
      <c r="H16" s="17" t="s">
        <v>57</v>
      </c>
    </row>
    <row r="18" spans="1:7" x14ac:dyDescent="0.25">
      <c r="A18" s="73" t="s">
        <v>58</v>
      </c>
      <c r="B18" s="74"/>
      <c r="C18" s="74"/>
      <c r="D18" s="74"/>
      <c r="E18" s="74"/>
      <c r="F18" s="74"/>
      <c r="G18" s="74"/>
    </row>
  </sheetData>
  <mergeCells count="5">
    <mergeCell ref="A1:G1"/>
    <mergeCell ref="A18:G18"/>
    <mergeCell ref="A2:G2"/>
    <mergeCell ref="A15:G15"/>
    <mergeCell ref="A4:C4"/>
  </mergeCells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6"/>
  <sheetViews>
    <sheetView showGridLines="0" workbookViewId="0">
      <pane xSplit="5" ySplit="4" topLeftCell="H40" activePane="bottomRight" state="frozen"/>
      <selection pane="topRight"/>
      <selection pane="bottomLeft"/>
      <selection pane="bottomRight" activeCell="K44" sqref="K44"/>
    </sheetView>
  </sheetViews>
  <sheetFormatPr defaultRowHeight="13.8" x14ac:dyDescent="0.25"/>
  <cols>
    <col min="1" max="1" width="5" customWidth="1"/>
    <col min="2" max="2" width="9" customWidth="1"/>
    <col min="3" max="3" width="32" customWidth="1"/>
    <col min="4" max="4" width="9" customWidth="1"/>
    <col min="5" max="5" width="20" customWidth="1"/>
    <col min="6" max="8" width="42" customWidth="1"/>
    <col min="9" max="10" width="13" customWidth="1"/>
    <col min="11" max="11" width="16" customWidth="1"/>
    <col min="12" max="12" width="24" customWidth="1"/>
  </cols>
  <sheetData>
    <row r="1" spans="1:12" ht="22.05" customHeight="1" x14ac:dyDescent="0.25">
      <c r="A1" s="71" t="s">
        <v>59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ht="16.05" customHeight="1" x14ac:dyDescent="0.25">
      <c r="A2" s="67" t="s">
        <v>60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4" spans="1:12" ht="25.95" customHeight="1" x14ac:dyDescent="0.25">
      <c r="A4" s="3" t="s">
        <v>4</v>
      </c>
      <c r="B4" s="3" t="s">
        <v>61</v>
      </c>
      <c r="C4" s="3" t="s">
        <v>62</v>
      </c>
      <c r="D4" s="3" t="s">
        <v>5</v>
      </c>
      <c r="E4" s="3" t="s">
        <v>6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</row>
    <row r="5" spans="1:12" ht="58.05" customHeight="1" x14ac:dyDescent="0.25">
      <c r="A5" s="18">
        <v>1</v>
      </c>
      <c r="B5" s="19">
        <v>1</v>
      </c>
      <c r="C5" s="20" t="s">
        <v>70</v>
      </c>
      <c r="D5" s="21" t="s">
        <v>11</v>
      </c>
      <c r="E5" s="20" t="s">
        <v>12</v>
      </c>
      <c r="F5" s="20" t="s">
        <v>71</v>
      </c>
      <c r="G5" s="20" t="s">
        <v>72</v>
      </c>
      <c r="H5" s="20" t="s">
        <v>73</v>
      </c>
      <c r="I5" s="22">
        <f>'Tổng quan'!$D$4+(B5-1)*7</f>
        <v>46216</v>
      </c>
      <c r="J5" s="22">
        <f t="shared" ref="J5:J46" si="0">I5+6</f>
        <v>46222</v>
      </c>
      <c r="K5" s="21" t="s">
        <v>56</v>
      </c>
      <c r="L5" s="23"/>
    </row>
    <row r="6" spans="1:12" ht="58.05" customHeight="1" x14ac:dyDescent="0.25">
      <c r="A6" s="4">
        <v>2</v>
      </c>
      <c r="B6" s="24">
        <v>1</v>
      </c>
      <c r="C6" s="6" t="s">
        <v>70</v>
      </c>
      <c r="D6" s="5" t="s">
        <v>17</v>
      </c>
      <c r="E6" s="6" t="s">
        <v>18</v>
      </c>
      <c r="F6" s="6" t="s">
        <v>74</v>
      </c>
      <c r="G6" s="6" t="s">
        <v>72</v>
      </c>
      <c r="H6" s="6" t="s">
        <v>75</v>
      </c>
      <c r="I6" s="25">
        <f>'Tổng quan'!$D$4+(B6-1)*7</f>
        <v>46216</v>
      </c>
      <c r="J6" s="25">
        <f t="shared" si="0"/>
        <v>46222</v>
      </c>
      <c r="K6" s="5" t="s">
        <v>56</v>
      </c>
      <c r="L6" s="26"/>
    </row>
    <row r="7" spans="1:12" ht="58.05" customHeight="1" x14ac:dyDescent="0.25">
      <c r="A7" s="4">
        <v>3</v>
      </c>
      <c r="B7" s="24">
        <v>1</v>
      </c>
      <c r="C7" s="6" t="s">
        <v>70</v>
      </c>
      <c r="D7" s="5" t="s">
        <v>23</v>
      </c>
      <c r="E7" s="6" t="s">
        <v>24</v>
      </c>
      <c r="F7" s="6" t="s">
        <v>76</v>
      </c>
      <c r="G7" s="6" t="s">
        <v>72</v>
      </c>
      <c r="H7" s="6" t="s">
        <v>77</v>
      </c>
      <c r="I7" s="25">
        <f>'Tổng quan'!$D$4+(B7-1)*7</f>
        <v>46216</v>
      </c>
      <c r="J7" s="25">
        <f t="shared" si="0"/>
        <v>46222</v>
      </c>
      <c r="K7" s="5" t="s">
        <v>56</v>
      </c>
      <c r="L7" s="26"/>
    </row>
    <row r="8" spans="1:12" ht="58.05" customHeight="1" x14ac:dyDescent="0.25">
      <c r="A8" s="4">
        <v>4</v>
      </c>
      <c r="B8" s="24">
        <v>1</v>
      </c>
      <c r="C8" s="6" t="s">
        <v>70</v>
      </c>
      <c r="D8" s="5" t="s">
        <v>29</v>
      </c>
      <c r="E8" s="6" t="s">
        <v>30</v>
      </c>
      <c r="F8" s="6" t="s">
        <v>78</v>
      </c>
      <c r="G8" s="6" t="s">
        <v>72</v>
      </c>
      <c r="H8" s="6" t="s">
        <v>77</v>
      </c>
      <c r="I8" s="25">
        <f>'Tổng quan'!$D$4+(B8-1)*7</f>
        <v>46216</v>
      </c>
      <c r="J8" s="25">
        <f t="shared" si="0"/>
        <v>46222</v>
      </c>
      <c r="K8" s="5" t="s">
        <v>56</v>
      </c>
      <c r="L8" s="26"/>
    </row>
    <row r="9" spans="1:12" ht="58.05" customHeight="1" x14ac:dyDescent="0.25">
      <c r="A9" s="4">
        <v>5</v>
      </c>
      <c r="B9" s="24">
        <v>1</v>
      </c>
      <c r="C9" s="6" t="s">
        <v>70</v>
      </c>
      <c r="D9" s="5" t="s">
        <v>35</v>
      </c>
      <c r="E9" s="6" t="s">
        <v>36</v>
      </c>
      <c r="F9" s="6" t="s">
        <v>79</v>
      </c>
      <c r="G9" s="6" t="s">
        <v>72</v>
      </c>
      <c r="H9" s="6" t="s">
        <v>77</v>
      </c>
      <c r="I9" s="25">
        <f>'Tổng quan'!$D$4+(B9-1)*7</f>
        <v>46216</v>
      </c>
      <c r="J9" s="25">
        <f t="shared" si="0"/>
        <v>46222</v>
      </c>
      <c r="K9" s="5" t="s">
        <v>54</v>
      </c>
      <c r="L9" s="26"/>
    </row>
    <row r="10" spans="1:12" ht="58.05" customHeight="1" x14ac:dyDescent="0.25">
      <c r="A10" s="4">
        <v>6</v>
      </c>
      <c r="B10" s="24">
        <v>1</v>
      </c>
      <c r="C10" s="6" t="s">
        <v>70</v>
      </c>
      <c r="D10" s="5" t="s">
        <v>41</v>
      </c>
      <c r="E10" s="6" t="s">
        <v>42</v>
      </c>
      <c r="F10" s="6" t="s">
        <v>80</v>
      </c>
      <c r="G10" s="6" t="s">
        <v>72</v>
      </c>
      <c r="H10" s="6" t="s">
        <v>77</v>
      </c>
      <c r="I10" s="25">
        <f>'Tổng quan'!$D$4+(B10-1)*7</f>
        <v>46216</v>
      </c>
      <c r="J10" s="25">
        <f t="shared" si="0"/>
        <v>46222</v>
      </c>
      <c r="K10" s="5" t="s">
        <v>56</v>
      </c>
      <c r="L10" s="26"/>
    </row>
    <row r="11" spans="1:12" ht="58.05" customHeight="1" x14ac:dyDescent="0.25">
      <c r="A11" s="4">
        <v>7</v>
      </c>
      <c r="B11" s="24">
        <v>1</v>
      </c>
      <c r="C11" s="6" t="s">
        <v>70</v>
      </c>
      <c r="D11" s="5" t="s">
        <v>47</v>
      </c>
      <c r="E11" s="6" t="s">
        <v>48</v>
      </c>
      <c r="F11" s="6" t="s">
        <v>81</v>
      </c>
      <c r="G11" s="6" t="s">
        <v>72</v>
      </c>
      <c r="H11" s="6" t="s">
        <v>77</v>
      </c>
      <c r="I11" s="25">
        <f>'Tổng quan'!$D$4+(B11-1)*7</f>
        <v>46216</v>
      </c>
      <c r="J11" s="25">
        <f t="shared" si="0"/>
        <v>46222</v>
      </c>
      <c r="K11" s="5" t="s">
        <v>56</v>
      </c>
      <c r="L11" s="26"/>
    </row>
    <row r="12" spans="1:12" ht="58.05" customHeight="1" x14ac:dyDescent="0.25">
      <c r="A12" s="27">
        <v>8</v>
      </c>
      <c r="B12" s="28">
        <v>2</v>
      </c>
      <c r="C12" s="29" t="s">
        <v>82</v>
      </c>
      <c r="D12" s="30" t="s">
        <v>11</v>
      </c>
      <c r="E12" s="29" t="s">
        <v>12</v>
      </c>
      <c r="F12" s="29" t="s">
        <v>83</v>
      </c>
      <c r="G12" s="29" t="s">
        <v>72</v>
      </c>
      <c r="H12" s="29" t="s">
        <v>84</v>
      </c>
      <c r="I12" s="31">
        <f>'Tổng quan'!$D$4+(B12-1)*7</f>
        <v>46223</v>
      </c>
      <c r="J12" s="31">
        <f t="shared" si="0"/>
        <v>46229</v>
      </c>
      <c r="K12" s="30" t="s">
        <v>56</v>
      </c>
      <c r="L12" s="23"/>
    </row>
    <row r="13" spans="1:12" ht="58.05" customHeight="1" x14ac:dyDescent="0.25">
      <c r="A13" s="32">
        <v>9</v>
      </c>
      <c r="B13" s="33">
        <v>2</v>
      </c>
      <c r="C13" s="34" t="s">
        <v>82</v>
      </c>
      <c r="D13" s="35" t="s">
        <v>17</v>
      </c>
      <c r="E13" s="34" t="s">
        <v>18</v>
      </c>
      <c r="F13" s="34" t="s">
        <v>85</v>
      </c>
      <c r="G13" s="34" t="s">
        <v>72</v>
      </c>
      <c r="H13" s="34" t="s">
        <v>86</v>
      </c>
      <c r="I13" s="36">
        <f>'Tổng quan'!$D$4+(B13-1)*7</f>
        <v>46223</v>
      </c>
      <c r="J13" s="36">
        <f t="shared" si="0"/>
        <v>46229</v>
      </c>
      <c r="K13" s="35" t="s">
        <v>56</v>
      </c>
      <c r="L13" s="26"/>
    </row>
    <row r="14" spans="1:12" ht="58.05" customHeight="1" x14ac:dyDescent="0.25">
      <c r="A14" s="32">
        <v>10</v>
      </c>
      <c r="B14" s="33">
        <v>2</v>
      </c>
      <c r="C14" s="34" t="s">
        <v>82</v>
      </c>
      <c r="D14" s="35" t="s">
        <v>23</v>
      </c>
      <c r="E14" s="34" t="s">
        <v>24</v>
      </c>
      <c r="F14" s="34" t="s">
        <v>87</v>
      </c>
      <c r="G14" s="34" t="s">
        <v>72</v>
      </c>
      <c r="H14" s="34" t="s">
        <v>86</v>
      </c>
      <c r="I14" s="36">
        <f>'Tổng quan'!$D$4+(B14-1)*7</f>
        <v>46223</v>
      </c>
      <c r="J14" s="36">
        <f t="shared" si="0"/>
        <v>46229</v>
      </c>
      <c r="K14" s="35" t="s">
        <v>56</v>
      </c>
      <c r="L14" s="26"/>
    </row>
    <row r="15" spans="1:12" ht="58.05" customHeight="1" x14ac:dyDescent="0.25">
      <c r="A15" s="32">
        <v>11</v>
      </c>
      <c r="B15" s="33">
        <v>2</v>
      </c>
      <c r="C15" s="34" t="s">
        <v>82</v>
      </c>
      <c r="D15" s="35" t="s">
        <v>29</v>
      </c>
      <c r="E15" s="34" t="s">
        <v>30</v>
      </c>
      <c r="F15" s="34" t="s">
        <v>88</v>
      </c>
      <c r="G15" s="34" t="s">
        <v>72</v>
      </c>
      <c r="H15" s="34" t="s">
        <v>86</v>
      </c>
      <c r="I15" s="36">
        <f>'Tổng quan'!$D$4+(B15-1)*7</f>
        <v>46223</v>
      </c>
      <c r="J15" s="36">
        <f t="shared" si="0"/>
        <v>46229</v>
      </c>
      <c r="K15" s="35" t="s">
        <v>56</v>
      </c>
      <c r="L15" s="26"/>
    </row>
    <row r="16" spans="1:12" ht="58.05" customHeight="1" x14ac:dyDescent="0.25">
      <c r="A16" s="32">
        <v>12</v>
      </c>
      <c r="B16" s="33">
        <v>2</v>
      </c>
      <c r="C16" s="34" t="s">
        <v>82</v>
      </c>
      <c r="D16" s="35" t="s">
        <v>35</v>
      </c>
      <c r="E16" s="34" t="s">
        <v>36</v>
      </c>
      <c r="F16" s="34" t="s">
        <v>89</v>
      </c>
      <c r="G16" s="34" t="s">
        <v>72</v>
      </c>
      <c r="H16" s="34" t="s">
        <v>86</v>
      </c>
      <c r="I16" s="36">
        <f>'Tổng quan'!$D$4+(B16-1)*7</f>
        <v>46223</v>
      </c>
      <c r="J16" s="36">
        <f t="shared" si="0"/>
        <v>46229</v>
      </c>
      <c r="K16" s="35" t="s">
        <v>54</v>
      </c>
      <c r="L16" s="26"/>
    </row>
    <row r="17" spans="1:12" ht="58.05" customHeight="1" x14ac:dyDescent="0.25">
      <c r="A17" s="32">
        <v>13</v>
      </c>
      <c r="B17" s="33">
        <v>2</v>
      </c>
      <c r="C17" s="34" t="s">
        <v>82</v>
      </c>
      <c r="D17" s="35" t="s">
        <v>41</v>
      </c>
      <c r="E17" s="34" t="s">
        <v>42</v>
      </c>
      <c r="F17" s="34" t="s">
        <v>90</v>
      </c>
      <c r="G17" s="34" t="s">
        <v>72</v>
      </c>
      <c r="H17" s="34" t="s">
        <v>86</v>
      </c>
      <c r="I17" s="36">
        <f>'Tổng quan'!$D$4+(B17-1)*7</f>
        <v>46223</v>
      </c>
      <c r="J17" s="36">
        <f t="shared" si="0"/>
        <v>46229</v>
      </c>
      <c r="K17" s="35" t="s">
        <v>56</v>
      </c>
      <c r="L17" s="26"/>
    </row>
    <row r="18" spans="1:12" ht="58.05" customHeight="1" x14ac:dyDescent="0.25">
      <c r="A18" s="32">
        <v>14</v>
      </c>
      <c r="B18" s="33">
        <v>2</v>
      </c>
      <c r="C18" s="34" t="s">
        <v>82</v>
      </c>
      <c r="D18" s="35" t="s">
        <v>47</v>
      </c>
      <c r="E18" s="34" t="s">
        <v>48</v>
      </c>
      <c r="F18" s="34" t="s">
        <v>91</v>
      </c>
      <c r="G18" s="34" t="s">
        <v>72</v>
      </c>
      <c r="H18" s="34" t="s">
        <v>92</v>
      </c>
      <c r="I18" s="36">
        <f>'Tổng quan'!$D$4+(B18-1)*7</f>
        <v>46223</v>
      </c>
      <c r="J18" s="36">
        <f t="shared" si="0"/>
        <v>46229</v>
      </c>
      <c r="K18" s="35" t="s">
        <v>56</v>
      </c>
      <c r="L18" s="26"/>
    </row>
    <row r="19" spans="1:12" ht="58.05" customHeight="1" x14ac:dyDescent="0.25">
      <c r="A19" s="18">
        <v>15</v>
      </c>
      <c r="B19" s="19">
        <v>3</v>
      </c>
      <c r="C19" s="20" t="s">
        <v>93</v>
      </c>
      <c r="D19" s="21" t="s">
        <v>11</v>
      </c>
      <c r="E19" s="20" t="s">
        <v>12</v>
      </c>
      <c r="F19" s="20" t="s">
        <v>94</v>
      </c>
      <c r="G19" s="20" t="s">
        <v>95</v>
      </c>
      <c r="H19" s="20" t="s">
        <v>86</v>
      </c>
      <c r="I19" s="22">
        <f>'Tổng quan'!$D$4+(B19-1)*7</f>
        <v>46230</v>
      </c>
      <c r="J19" s="22">
        <f t="shared" si="0"/>
        <v>46236</v>
      </c>
      <c r="K19" s="21" t="s">
        <v>56</v>
      </c>
      <c r="L19" s="23"/>
    </row>
    <row r="20" spans="1:12" ht="58.05" customHeight="1" x14ac:dyDescent="0.25">
      <c r="A20" s="4">
        <v>16</v>
      </c>
      <c r="B20" s="24">
        <v>3</v>
      </c>
      <c r="C20" s="6" t="s">
        <v>93</v>
      </c>
      <c r="D20" s="5" t="s">
        <v>17</v>
      </c>
      <c r="E20" s="6" t="s">
        <v>18</v>
      </c>
      <c r="F20" s="6" t="s">
        <v>96</v>
      </c>
      <c r="G20" s="6" t="s">
        <v>97</v>
      </c>
      <c r="H20" s="6" t="s">
        <v>86</v>
      </c>
      <c r="I20" s="25">
        <f>'Tổng quan'!$D$4+(B20-1)*7</f>
        <v>46230</v>
      </c>
      <c r="J20" s="25">
        <f t="shared" si="0"/>
        <v>46236</v>
      </c>
      <c r="K20" s="5" t="s">
        <v>56</v>
      </c>
      <c r="L20" s="26"/>
    </row>
    <row r="21" spans="1:12" ht="58.05" customHeight="1" x14ac:dyDescent="0.25">
      <c r="A21" s="4">
        <v>17</v>
      </c>
      <c r="B21" s="24">
        <v>3</v>
      </c>
      <c r="C21" s="6" t="s">
        <v>93</v>
      </c>
      <c r="D21" s="5" t="s">
        <v>23</v>
      </c>
      <c r="E21" s="6" t="s">
        <v>24</v>
      </c>
      <c r="F21" s="6" t="s">
        <v>98</v>
      </c>
      <c r="G21" s="6" t="s">
        <v>99</v>
      </c>
      <c r="H21" s="6" t="s">
        <v>86</v>
      </c>
      <c r="I21" s="25">
        <f>'Tổng quan'!$D$4+(B21-1)*7</f>
        <v>46230</v>
      </c>
      <c r="J21" s="25">
        <f t="shared" si="0"/>
        <v>46236</v>
      </c>
      <c r="K21" s="5" t="s">
        <v>56</v>
      </c>
      <c r="L21" s="26"/>
    </row>
    <row r="22" spans="1:12" ht="58.05" customHeight="1" x14ac:dyDescent="0.25">
      <c r="A22" s="4">
        <v>18</v>
      </c>
      <c r="B22" s="24">
        <v>3</v>
      </c>
      <c r="C22" s="6" t="s">
        <v>93</v>
      </c>
      <c r="D22" s="5" t="s">
        <v>29</v>
      </c>
      <c r="E22" s="6" t="s">
        <v>30</v>
      </c>
      <c r="F22" s="6" t="s">
        <v>100</v>
      </c>
      <c r="G22" s="6" t="s">
        <v>101</v>
      </c>
      <c r="H22" s="6" t="s">
        <v>86</v>
      </c>
      <c r="I22" s="25">
        <f>'Tổng quan'!$D$4+(B22-1)*7</f>
        <v>46230</v>
      </c>
      <c r="J22" s="25">
        <f t="shared" si="0"/>
        <v>46236</v>
      </c>
      <c r="K22" s="5" t="s">
        <v>56</v>
      </c>
      <c r="L22" s="26"/>
    </row>
    <row r="23" spans="1:12" ht="58.05" customHeight="1" x14ac:dyDescent="0.25">
      <c r="A23" s="4">
        <v>19</v>
      </c>
      <c r="B23" s="24">
        <v>3</v>
      </c>
      <c r="C23" s="6" t="s">
        <v>93</v>
      </c>
      <c r="D23" s="5" t="s">
        <v>35</v>
      </c>
      <c r="E23" s="6" t="s">
        <v>36</v>
      </c>
      <c r="F23" s="6" t="s">
        <v>102</v>
      </c>
      <c r="G23" s="6" t="s">
        <v>72</v>
      </c>
      <c r="H23" s="6" t="s">
        <v>86</v>
      </c>
      <c r="I23" s="25">
        <f>'Tổng quan'!$D$4+(B23-1)*7</f>
        <v>46230</v>
      </c>
      <c r="J23" s="25">
        <f t="shared" si="0"/>
        <v>46236</v>
      </c>
      <c r="K23" s="5" t="s">
        <v>54</v>
      </c>
      <c r="L23" s="26"/>
    </row>
    <row r="24" spans="1:12" ht="58.05" customHeight="1" x14ac:dyDescent="0.25">
      <c r="A24" s="4">
        <v>20</v>
      </c>
      <c r="B24" s="24">
        <v>3</v>
      </c>
      <c r="C24" s="6" t="s">
        <v>93</v>
      </c>
      <c r="D24" s="5" t="s">
        <v>41</v>
      </c>
      <c r="E24" s="6" t="s">
        <v>42</v>
      </c>
      <c r="F24" s="6" t="s">
        <v>103</v>
      </c>
      <c r="G24" s="6" t="s">
        <v>104</v>
      </c>
      <c r="H24" s="6" t="s">
        <v>86</v>
      </c>
      <c r="I24" s="25">
        <f>'Tổng quan'!$D$4+(B24-1)*7</f>
        <v>46230</v>
      </c>
      <c r="J24" s="25">
        <f t="shared" si="0"/>
        <v>46236</v>
      </c>
      <c r="K24" s="5" t="s">
        <v>56</v>
      </c>
      <c r="L24" s="26"/>
    </row>
    <row r="25" spans="1:12" ht="58.05" customHeight="1" x14ac:dyDescent="0.25">
      <c r="A25" s="4">
        <v>21</v>
      </c>
      <c r="B25" s="24">
        <v>3</v>
      </c>
      <c r="C25" s="6" t="s">
        <v>93</v>
      </c>
      <c r="D25" s="5" t="s">
        <v>47</v>
      </c>
      <c r="E25" s="6" t="s">
        <v>48</v>
      </c>
      <c r="F25" s="6" t="s">
        <v>105</v>
      </c>
      <c r="G25" s="6" t="s">
        <v>106</v>
      </c>
      <c r="H25" s="6" t="s">
        <v>86</v>
      </c>
      <c r="I25" s="25">
        <f>'Tổng quan'!$D$4+(B25-1)*7</f>
        <v>46230</v>
      </c>
      <c r="J25" s="25">
        <f t="shared" si="0"/>
        <v>46236</v>
      </c>
      <c r="K25" s="5" t="s">
        <v>56</v>
      </c>
      <c r="L25" s="26"/>
    </row>
    <row r="26" spans="1:12" ht="58.05" customHeight="1" thickBot="1" x14ac:dyDescent="0.3">
      <c r="A26" s="27">
        <v>22</v>
      </c>
      <c r="B26" s="28">
        <v>4</v>
      </c>
      <c r="C26" s="29" t="s">
        <v>107</v>
      </c>
      <c r="D26" s="30" t="s">
        <v>11</v>
      </c>
      <c r="E26" s="29" t="s">
        <v>12</v>
      </c>
      <c r="F26" s="29" t="s">
        <v>72</v>
      </c>
      <c r="G26" s="29" t="s">
        <v>108</v>
      </c>
      <c r="H26" s="29" t="s">
        <v>109</v>
      </c>
      <c r="I26" s="31">
        <f>'Tổng quan'!$D$4+(B26-1)*7</f>
        <v>46237</v>
      </c>
      <c r="J26" s="31">
        <f t="shared" si="0"/>
        <v>46243</v>
      </c>
      <c r="K26" s="30" t="s">
        <v>56</v>
      </c>
      <c r="L26" s="23"/>
    </row>
    <row r="27" spans="1:12" ht="58.05" customHeight="1" thickBot="1" x14ac:dyDescent="0.3">
      <c r="A27" s="32">
        <v>23</v>
      </c>
      <c r="B27" s="33">
        <v>4</v>
      </c>
      <c r="C27" s="34" t="s">
        <v>107</v>
      </c>
      <c r="D27" s="35" t="s">
        <v>17</v>
      </c>
      <c r="E27" s="34" t="s">
        <v>18</v>
      </c>
      <c r="F27" s="34" t="s">
        <v>72</v>
      </c>
      <c r="G27" s="34" t="s">
        <v>110</v>
      </c>
      <c r="H27" s="34" t="s">
        <v>72</v>
      </c>
      <c r="I27" s="36">
        <f>'Tổng quan'!$D$4+(B27-1)*7</f>
        <v>46237</v>
      </c>
      <c r="J27" s="36">
        <f t="shared" si="0"/>
        <v>46243</v>
      </c>
      <c r="K27" s="30" t="s">
        <v>56</v>
      </c>
      <c r="L27" s="26"/>
    </row>
    <row r="28" spans="1:12" ht="58.05" customHeight="1" thickBot="1" x14ac:dyDescent="0.3">
      <c r="A28" s="32">
        <v>24</v>
      </c>
      <c r="B28" s="33">
        <v>4</v>
      </c>
      <c r="C28" s="34" t="s">
        <v>107</v>
      </c>
      <c r="D28" s="35" t="s">
        <v>23</v>
      </c>
      <c r="E28" s="34" t="s">
        <v>24</v>
      </c>
      <c r="F28" s="34" t="s">
        <v>72</v>
      </c>
      <c r="G28" s="34" t="s">
        <v>111</v>
      </c>
      <c r="H28" s="34" t="s">
        <v>72</v>
      </c>
      <c r="I28" s="36">
        <f>'Tổng quan'!$D$4+(B28-1)*7</f>
        <v>46237</v>
      </c>
      <c r="J28" s="36">
        <f t="shared" si="0"/>
        <v>46243</v>
      </c>
      <c r="K28" s="30" t="s">
        <v>56</v>
      </c>
      <c r="L28" s="26"/>
    </row>
    <row r="29" spans="1:12" ht="58.05" customHeight="1" thickBot="1" x14ac:dyDescent="0.3">
      <c r="A29" s="32">
        <v>25</v>
      </c>
      <c r="B29" s="33">
        <v>4</v>
      </c>
      <c r="C29" s="34" t="s">
        <v>107</v>
      </c>
      <c r="D29" s="35" t="s">
        <v>29</v>
      </c>
      <c r="E29" s="34" t="s">
        <v>30</v>
      </c>
      <c r="F29" s="34" t="s">
        <v>72</v>
      </c>
      <c r="G29" s="34" t="s">
        <v>112</v>
      </c>
      <c r="H29" s="34" t="s">
        <v>72</v>
      </c>
      <c r="I29" s="36">
        <f>'Tổng quan'!$D$4+(B29-1)*7</f>
        <v>46237</v>
      </c>
      <c r="J29" s="36">
        <f t="shared" si="0"/>
        <v>46243</v>
      </c>
      <c r="K29" s="30" t="s">
        <v>56</v>
      </c>
      <c r="L29" s="26"/>
    </row>
    <row r="30" spans="1:12" ht="58.05" customHeight="1" thickBot="1" x14ac:dyDescent="0.3">
      <c r="A30" s="32">
        <v>26</v>
      </c>
      <c r="B30" s="33">
        <v>4</v>
      </c>
      <c r="C30" s="34" t="s">
        <v>107</v>
      </c>
      <c r="D30" s="35" t="s">
        <v>35</v>
      </c>
      <c r="E30" s="34" t="s">
        <v>36</v>
      </c>
      <c r="F30" s="34" t="s">
        <v>113</v>
      </c>
      <c r="G30" s="34" t="s">
        <v>72</v>
      </c>
      <c r="H30" s="34" t="s">
        <v>72</v>
      </c>
      <c r="I30" s="36">
        <f>'Tổng quan'!$D$4+(B30-1)*7</f>
        <v>46237</v>
      </c>
      <c r="J30" s="36">
        <f t="shared" si="0"/>
        <v>46243</v>
      </c>
      <c r="K30" s="30" t="s">
        <v>54</v>
      </c>
      <c r="L30" s="26"/>
    </row>
    <row r="31" spans="1:12" ht="58.05" customHeight="1" thickBot="1" x14ac:dyDescent="0.3">
      <c r="A31" s="32">
        <v>27</v>
      </c>
      <c r="B31" s="33">
        <v>4</v>
      </c>
      <c r="C31" s="34" t="s">
        <v>107</v>
      </c>
      <c r="D31" s="35" t="s">
        <v>41</v>
      </c>
      <c r="E31" s="34" t="s">
        <v>42</v>
      </c>
      <c r="F31" s="34" t="s">
        <v>72</v>
      </c>
      <c r="G31" s="34" t="s">
        <v>114</v>
      </c>
      <c r="H31" s="34" t="s">
        <v>72</v>
      </c>
      <c r="I31" s="36">
        <f>'Tổng quan'!$D$4+(B31-1)*7</f>
        <v>46237</v>
      </c>
      <c r="J31" s="36">
        <f t="shared" si="0"/>
        <v>46243</v>
      </c>
      <c r="K31" s="30" t="s">
        <v>56</v>
      </c>
      <c r="L31" s="26"/>
    </row>
    <row r="32" spans="1:12" ht="58.05" customHeight="1" thickBot="1" x14ac:dyDescent="0.3">
      <c r="A32" s="32">
        <v>28</v>
      </c>
      <c r="B32" s="33">
        <v>4</v>
      </c>
      <c r="C32" s="34" t="s">
        <v>107</v>
      </c>
      <c r="D32" s="35" t="s">
        <v>47</v>
      </c>
      <c r="E32" s="34" t="s">
        <v>48</v>
      </c>
      <c r="F32" s="34" t="s">
        <v>72</v>
      </c>
      <c r="G32" s="34" t="s">
        <v>115</v>
      </c>
      <c r="H32" s="34" t="s">
        <v>72</v>
      </c>
      <c r="I32" s="36">
        <f>'Tổng quan'!$D$4+(B32-1)*7</f>
        <v>46237</v>
      </c>
      <c r="J32" s="36">
        <f t="shared" si="0"/>
        <v>46243</v>
      </c>
      <c r="K32" s="30" t="s">
        <v>56</v>
      </c>
      <c r="L32" s="26"/>
    </row>
    <row r="33" spans="1:12" ht="58.05" customHeight="1" thickBot="1" x14ac:dyDescent="0.3">
      <c r="A33" s="18">
        <v>29</v>
      </c>
      <c r="B33" s="19">
        <v>5</v>
      </c>
      <c r="C33" s="20" t="s">
        <v>116</v>
      </c>
      <c r="D33" s="21" t="s">
        <v>11</v>
      </c>
      <c r="E33" s="20" t="s">
        <v>12</v>
      </c>
      <c r="F33" s="20" t="s">
        <v>72</v>
      </c>
      <c r="G33" s="20" t="s">
        <v>117</v>
      </c>
      <c r="H33" s="20" t="s">
        <v>118</v>
      </c>
      <c r="I33" s="22">
        <f>'Tổng quan'!$D$4+(B33-1)*7</f>
        <v>46244</v>
      </c>
      <c r="J33" s="22">
        <f t="shared" si="0"/>
        <v>46250</v>
      </c>
      <c r="K33" s="30" t="s">
        <v>56</v>
      </c>
      <c r="L33" s="23"/>
    </row>
    <row r="34" spans="1:12" ht="58.05" customHeight="1" thickBot="1" x14ac:dyDescent="0.3">
      <c r="A34" s="4">
        <v>30</v>
      </c>
      <c r="B34" s="24">
        <v>5</v>
      </c>
      <c r="C34" s="6" t="s">
        <v>116</v>
      </c>
      <c r="D34" s="5" t="s">
        <v>17</v>
      </c>
      <c r="E34" s="6" t="s">
        <v>18</v>
      </c>
      <c r="F34" s="6" t="s">
        <v>72</v>
      </c>
      <c r="G34" s="6" t="s">
        <v>119</v>
      </c>
      <c r="H34" s="6" t="s">
        <v>120</v>
      </c>
      <c r="I34" s="25">
        <f>'Tổng quan'!$D$4+(B34-1)*7</f>
        <v>46244</v>
      </c>
      <c r="J34" s="25">
        <f t="shared" si="0"/>
        <v>46250</v>
      </c>
      <c r="K34" s="30" t="s">
        <v>56</v>
      </c>
      <c r="L34" s="26"/>
    </row>
    <row r="35" spans="1:12" ht="58.05" customHeight="1" thickBot="1" x14ac:dyDescent="0.3">
      <c r="A35" s="4">
        <v>31</v>
      </c>
      <c r="B35" s="24">
        <v>5</v>
      </c>
      <c r="C35" s="6" t="s">
        <v>116</v>
      </c>
      <c r="D35" s="5" t="s">
        <v>23</v>
      </c>
      <c r="E35" s="6" t="s">
        <v>24</v>
      </c>
      <c r="F35" s="6" t="s">
        <v>72</v>
      </c>
      <c r="G35" s="6" t="s">
        <v>121</v>
      </c>
      <c r="H35" s="6" t="s">
        <v>122</v>
      </c>
      <c r="I35" s="25">
        <f>'Tổng quan'!$D$4+(B35-1)*7</f>
        <v>46244</v>
      </c>
      <c r="J35" s="25">
        <f t="shared" si="0"/>
        <v>46250</v>
      </c>
      <c r="K35" s="30" t="s">
        <v>56</v>
      </c>
      <c r="L35" s="26"/>
    </row>
    <row r="36" spans="1:12" ht="58.05" customHeight="1" thickBot="1" x14ac:dyDescent="0.3">
      <c r="A36" s="4">
        <v>32</v>
      </c>
      <c r="B36" s="24">
        <v>5</v>
      </c>
      <c r="C36" s="6" t="s">
        <v>116</v>
      </c>
      <c r="D36" s="5" t="s">
        <v>29</v>
      </c>
      <c r="E36" s="6" t="s">
        <v>30</v>
      </c>
      <c r="F36" s="6" t="s">
        <v>72</v>
      </c>
      <c r="G36" s="6" t="s">
        <v>123</v>
      </c>
      <c r="H36" s="6" t="s">
        <v>124</v>
      </c>
      <c r="I36" s="25">
        <f>'Tổng quan'!$D$4+(B36-1)*7</f>
        <v>46244</v>
      </c>
      <c r="J36" s="25">
        <f t="shared" si="0"/>
        <v>46250</v>
      </c>
      <c r="K36" s="30" t="s">
        <v>56</v>
      </c>
      <c r="L36" s="26"/>
    </row>
    <row r="37" spans="1:12" ht="58.05" customHeight="1" thickBot="1" x14ac:dyDescent="0.3">
      <c r="A37" s="4">
        <v>33</v>
      </c>
      <c r="B37" s="24">
        <v>5</v>
      </c>
      <c r="C37" s="6" t="s">
        <v>116</v>
      </c>
      <c r="D37" s="5" t="s">
        <v>35</v>
      </c>
      <c r="E37" s="6" t="s">
        <v>36</v>
      </c>
      <c r="F37" s="6" t="s">
        <v>72</v>
      </c>
      <c r="G37" s="6" t="s">
        <v>125</v>
      </c>
      <c r="H37" s="6" t="s">
        <v>126</v>
      </c>
      <c r="I37" s="25">
        <f>'Tổng quan'!$D$4+(B37-1)*7</f>
        <v>46244</v>
      </c>
      <c r="J37" s="25">
        <f t="shared" si="0"/>
        <v>46250</v>
      </c>
      <c r="K37" s="30" t="s">
        <v>54</v>
      </c>
      <c r="L37" s="26"/>
    </row>
    <row r="38" spans="1:12" ht="58.05" customHeight="1" thickBot="1" x14ac:dyDescent="0.3">
      <c r="A38" s="4">
        <v>34</v>
      </c>
      <c r="B38" s="24">
        <v>5</v>
      </c>
      <c r="C38" s="6" t="s">
        <v>116</v>
      </c>
      <c r="D38" s="5" t="s">
        <v>41</v>
      </c>
      <c r="E38" s="6" t="s">
        <v>42</v>
      </c>
      <c r="F38" s="6" t="s">
        <v>72</v>
      </c>
      <c r="G38" s="6" t="s">
        <v>127</v>
      </c>
      <c r="H38" s="6" t="s">
        <v>128</v>
      </c>
      <c r="I38" s="25">
        <f>'Tổng quan'!$D$4+(B38-1)*7</f>
        <v>46244</v>
      </c>
      <c r="J38" s="25">
        <f t="shared" si="0"/>
        <v>46250</v>
      </c>
      <c r="K38" s="30" t="s">
        <v>56</v>
      </c>
      <c r="L38" s="26"/>
    </row>
    <row r="39" spans="1:12" ht="58.05" customHeight="1" thickBot="1" x14ac:dyDescent="0.3">
      <c r="A39" s="4">
        <v>35</v>
      </c>
      <c r="B39" s="24">
        <v>5</v>
      </c>
      <c r="C39" s="6" t="s">
        <v>116</v>
      </c>
      <c r="D39" s="5" t="s">
        <v>47</v>
      </c>
      <c r="E39" s="6" t="s">
        <v>48</v>
      </c>
      <c r="F39" s="6" t="s">
        <v>72</v>
      </c>
      <c r="G39" s="6" t="s">
        <v>129</v>
      </c>
      <c r="H39" s="6" t="s">
        <v>130</v>
      </c>
      <c r="I39" s="25">
        <f>'Tổng quan'!$D$4+(B39-1)*7</f>
        <v>46244</v>
      </c>
      <c r="J39" s="25">
        <f t="shared" si="0"/>
        <v>46250</v>
      </c>
      <c r="K39" s="30" t="s">
        <v>56</v>
      </c>
      <c r="L39" s="26"/>
    </row>
    <row r="40" spans="1:12" ht="58.05" customHeight="1" thickBot="1" x14ac:dyDescent="0.3">
      <c r="A40" s="27">
        <v>36</v>
      </c>
      <c r="B40" s="28">
        <v>6</v>
      </c>
      <c r="C40" s="29" t="s">
        <v>131</v>
      </c>
      <c r="D40" s="30" t="s">
        <v>11</v>
      </c>
      <c r="E40" s="29" t="s">
        <v>12</v>
      </c>
      <c r="F40" s="29" t="s">
        <v>132</v>
      </c>
      <c r="G40" s="29" t="s">
        <v>133</v>
      </c>
      <c r="H40" s="29" t="s">
        <v>134</v>
      </c>
      <c r="I40" s="31">
        <f>'Tổng quan'!$D$4+(B40-1)*7</f>
        <v>46251</v>
      </c>
      <c r="J40" s="31">
        <f t="shared" si="0"/>
        <v>46257</v>
      </c>
      <c r="K40" s="30" t="s">
        <v>56</v>
      </c>
      <c r="L40" s="23"/>
    </row>
    <row r="41" spans="1:12" ht="58.05" customHeight="1" thickBot="1" x14ac:dyDescent="0.3">
      <c r="A41" s="32">
        <v>37</v>
      </c>
      <c r="B41" s="33">
        <v>6</v>
      </c>
      <c r="C41" s="34" t="s">
        <v>131</v>
      </c>
      <c r="D41" s="35" t="s">
        <v>17</v>
      </c>
      <c r="E41" s="34" t="s">
        <v>18</v>
      </c>
      <c r="F41" s="34" t="s">
        <v>135</v>
      </c>
      <c r="G41" s="34" t="s">
        <v>136</v>
      </c>
      <c r="H41" s="34" t="s">
        <v>137</v>
      </c>
      <c r="I41" s="36">
        <f>'Tổng quan'!$D$4+(B41-1)*7</f>
        <v>46251</v>
      </c>
      <c r="J41" s="36">
        <f t="shared" si="0"/>
        <v>46257</v>
      </c>
      <c r="K41" s="30" t="s">
        <v>56</v>
      </c>
      <c r="L41" s="26"/>
    </row>
    <row r="42" spans="1:12" ht="58.05" customHeight="1" thickBot="1" x14ac:dyDescent="0.3">
      <c r="A42" s="32">
        <v>38</v>
      </c>
      <c r="B42" s="33">
        <v>6</v>
      </c>
      <c r="C42" s="34" t="s">
        <v>131</v>
      </c>
      <c r="D42" s="35" t="s">
        <v>23</v>
      </c>
      <c r="E42" s="34" t="s">
        <v>24</v>
      </c>
      <c r="F42" s="34" t="s">
        <v>138</v>
      </c>
      <c r="G42" s="34" t="s">
        <v>139</v>
      </c>
      <c r="H42" s="34" t="s">
        <v>140</v>
      </c>
      <c r="I42" s="36">
        <f>'Tổng quan'!$D$4+(B42-1)*7</f>
        <v>46251</v>
      </c>
      <c r="J42" s="36">
        <f t="shared" si="0"/>
        <v>46257</v>
      </c>
      <c r="K42" s="30" t="s">
        <v>56</v>
      </c>
      <c r="L42" s="26"/>
    </row>
    <row r="43" spans="1:12" ht="58.05" customHeight="1" thickBot="1" x14ac:dyDescent="0.3">
      <c r="A43" s="32">
        <v>39</v>
      </c>
      <c r="B43" s="33">
        <v>6</v>
      </c>
      <c r="C43" s="34" t="s">
        <v>131</v>
      </c>
      <c r="D43" s="35" t="s">
        <v>29</v>
      </c>
      <c r="E43" s="34" t="s">
        <v>30</v>
      </c>
      <c r="F43" s="34" t="s">
        <v>141</v>
      </c>
      <c r="G43" s="34" t="s">
        <v>142</v>
      </c>
      <c r="H43" s="34" t="s">
        <v>143</v>
      </c>
      <c r="I43" s="36">
        <f>'Tổng quan'!$D$4+(B43-1)*7</f>
        <v>46251</v>
      </c>
      <c r="J43" s="36">
        <f t="shared" si="0"/>
        <v>46257</v>
      </c>
      <c r="K43" s="30" t="s">
        <v>56</v>
      </c>
      <c r="L43" s="26"/>
    </row>
    <row r="44" spans="1:12" ht="58.05" customHeight="1" thickBot="1" x14ac:dyDescent="0.3">
      <c r="A44" s="32">
        <v>40</v>
      </c>
      <c r="B44" s="33">
        <v>6</v>
      </c>
      <c r="C44" s="34" t="s">
        <v>131</v>
      </c>
      <c r="D44" s="35" t="s">
        <v>35</v>
      </c>
      <c r="E44" s="34" t="s">
        <v>36</v>
      </c>
      <c r="F44" s="34" t="s">
        <v>144</v>
      </c>
      <c r="G44" s="34" t="s">
        <v>145</v>
      </c>
      <c r="H44" s="34" t="s">
        <v>146</v>
      </c>
      <c r="I44" s="36">
        <f>'Tổng quan'!$D$4+(B44-1)*7</f>
        <v>46251</v>
      </c>
      <c r="J44" s="36">
        <f t="shared" si="0"/>
        <v>46257</v>
      </c>
      <c r="K44" s="30" t="s">
        <v>56</v>
      </c>
      <c r="L44" s="26"/>
    </row>
    <row r="45" spans="1:12" ht="58.05" customHeight="1" thickBot="1" x14ac:dyDescent="0.3">
      <c r="A45" s="32">
        <v>41</v>
      </c>
      <c r="B45" s="33">
        <v>6</v>
      </c>
      <c r="C45" s="34" t="s">
        <v>131</v>
      </c>
      <c r="D45" s="35" t="s">
        <v>41</v>
      </c>
      <c r="E45" s="34" t="s">
        <v>42</v>
      </c>
      <c r="F45" s="34" t="s">
        <v>147</v>
      </c>
      <c r="G45" s="34" t="s">
        <v>148</v>
      </c>
      <c r="H45" s="34" t="s">
        <v>149</v>
      </c>
      <c r="I45" s="36">
        <f>'Tổng quan'!$D$4+(B45-1)*7</f>
        <v>46251</v>
      </c>
      <c r="J45" s="36">
        <f t="shared" si="0"/>
        <v>46257</v>
      </c>
      <c r="K45" s="30" t="s">
        <v>56</v>
      </c>
      <c r="L45" s="26"/>
    </row>
    <row r="46" spans="1:12" ht="58.05" customHeight="1" x14ac:dyDescent="0.25">
      <c r="A46" s="32">
        <v>42</v>
      </c>
      <c r="B46" s="33">
        <v>6</v>
      </c>
      <c r="C46" s="34" t="s">
        <v>131</v>
      </c>
      <c r="D46" s="35" t="s">
        <v>47</v>
      </c>
      <c r="E46" s="34" t="s">
        <v>48</v>
      </c>
      <c r="F46" s="34" t="s">
        <v>150</v>
      </c>
      <c r="G46" s="34" t="s">
        <v>151</v>
      </c>
      <c r="H46" s="34" t="s">
        <v>152</v>
      </c>
      <c r="I46" s="36">
        <f>'Tổng quan'!$D$4+(B46-1)*7</f>
        <v>46251</v>
      </c>
      <c r="J46" s="36">
        <f t="shared" si="0"/>
        <v>46257</v>
      </c>
      <c r="K46" s="30" t="s">
        <v>56</v>
      </c>
      <c r="L46" s="26"/>
    </row>
  </sheetData>
  <autoFilter ref="A4:L46" xr:uid="{00000000-0009-0000-0000-000001000000}"/>
  <mergeCells count="2">
    <mergeCell ref="A2:L2"/>
    <mergeCell ref="A1:L1"/>
  </mergeCells>
  <conditionalFormatting sqref="K5:K46">
    <cfRule type="cellIs" dxfId="11" priority="1" operator="equal">
      <formula>"Chưa bắt đầu"</formula>
    </cfRule>
    <cfRule type="cellIs" dxfId="10" priority="2" operator="equal">
      <formula>"Đang thực hiện"</formula>
    </cfRule>
    <cfRule type="cellIs" dxfId="9" priority="3" operator="equal">
      <formula>"Hoàn thành"</formula>
    </cfRule>
    <cfRule type="cellIs" dxfId="8" priority="4" operator="equal">
      <formula>"Trễ hạn"</formula>
    </cfRule>
  </conditionalFormatting>
  <dataValidations count="1">
    <dataValidation type="list" allowBlank="1" sqref="K5:K46" xr:uid="{00000000-0002-0000-0100-000000000000}">
      <formula1>"Chưa bắt đầu,Đang thực hiện,Hoàn thành,Trễ hạn"</formula1>
    </dataValidation>
  </dataValidations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9"/>
  <sheetViews>
    <sheetView showGridLines="0" workbookViewId="0">
      <selection sqref="A1:G1"/>
    </sheetView>
  </sheetViews>
  <sheetFormatPr defaultRowHeight="13.8" x14ac:dyDescent="0.25"/>
  <cols>
    <col min="1" max="1" width="26" customWidth="1"/>
    <col min="2" max="7" width="24" customWidth="1"/>
  </cols>
  <sheetData>
    <row r="1" spans="1:7" ht="22.05" customHeight="1" x14ac:dyDescent="0.25">
      <c r="A1" s="71" t="s">
        <v>153</v>
      </c>
      <c r="B1" s="72"/>
      <c r="C1" s="72"/>
      <c r="D1" s="72"/>
      <c r="E1" s="72"/>
      <c r="F1" s="72"/>
      <c r="G1" s="72"/>
    </row>
    <row r="2" spans="1:7" ht="16.05" customHeight="1" x14ac:dyDescent="0.25">
      <c r="A2" s="67" t="s">
        <v>154</v>
      </c>
      <c r="B2" s="68"/>
      <c r="C2" s="68"/>
      <c r="D2" s="68"/>
      <c r="E2" s="68"/>
      <c r="F2" s="68"/>
      <c r="G2" s="68"/>
    </row>
    <row r="4" spans="1:7" ht="19.95" customHeight="1" x14ac:dyDescent="0.25">
      <c r="A4" s="3" t="s">
        <v>5</v>
      </c>
      <c r="B4" s="3" t="s">
        <v>155</v>
      </c>
      <c r="C4" s="3" t="s">
        <v>156</v>
      </c>
      <c r="D4" s="3" t="s">
        <v>157</v>
      </c>
      <c r="E4" s="3" t="s">
        <v>158</v>
      </c>
      <c r="F4" s="3" t="s">
        <v>159</v>
      </c>
      <c r="G4" s="3" t="s">
        <v>160</v>
      </c>
    </row>
    <row r="5" spans="1:7" ht="16.05" customHeight="1" x14ac:dyDescent="0.25">
      <c r="A5" s="37"/>
      <c r="B5" s="38" t="str">
        <f>TEXT('Tổng quan'!$D$4+(1-1)*7,"dd/mm")&amp;" - "&amp;TEXT('Tổng quan'!$D$4+(1-1)*7+6,"dd/mm/yy")</f>
        <v>13/07 - 19/07/26</v>
      </c>
      <c r="C5" s="38" t="str">
        <f>TEXT('Tổng quan'!$D$4+(2-1)*7,"dd/mm")&amp;" - "&amp;TEXT('Tổng quan'!$D$4+(2-1)*7+6,"dd/mm/yy")</f>
        <v>20/07 - 26/07/26</v>
      </c>
      <c r="D5" s="38" t="str">
        <f>TEXT('Tổng quan'!$D$4+(3-1)*7,"dd/mm")&amp;" - "&amp;TEXT('Tổng quan'!$D$4+(3-1)*7+6,"dd/mm/yy")</f>
        <v>27/07 - 02/08/26</v>
      </c>
      <c r="E5" s="38" t="str">
        <f>TEXT('Tổng quan'!$D$4+(4-1)*7,"dd/mm")&amp;" - "&amp;TEXT('Tổng quan'!$D$4+(4-1)*7+6,"dd/mm/yy")</f>
        <v>03/08 - 09/08/26</v>
      </c>
      <c r="F5" s="38" t="str">
        <f>TEXT('Tổng quan'!$D$4+(5-1)*7,"dd/mm")&amp;" - "&amp;TEXT('Tổng quan'!$D$4+(5-1)*7+6,"dd/mm/yy")</f>
        <v>10/08 - 16/08/26</v>
      </c>
      <c r="G5" s="38" t="str">
        <f>TEXT('Tổng quan'!$D$4+(6-1)*7,"dd/mm")&amp;" - "&amp;TEXT('Tổng quan'!$D$4+(6-1)*7+6,"dd/mm/yy")</f>
        <v>17/08 - 23/08/26</v>
      </c>
    </row>
    <row r="6" spans="1:7" ht="40.049999999999997" customHeight="1" x14ac:dyDescent="0.25">
      <c r="A6" s="39" t="s">
        <v>161</v>
      </c>
      <c r="B6" s="40" t="s">
        <v>162</v>
      </c>
      <c r="C6" s="41" t="s">
        <v>163</v>
      </c>
      <c r="D6" s="41" t="s">
        <v>164</v>
      </c>
      <c r="E6" s="42" t="s">
        <v>165</v>
      </c>
      <c r="F6" s="43" t="s">
        <v>166</v>
      </c>
      <c r="G6" s="44" t="s">
        <v>167</v>
      </c>
    </row>
    <row r="7" spans="1:7" ht="40.049999999999997" customHeight="1" x14ac:dyDescent="0.25">
      <c r="A7" s="39" t="s">
        <v>168</v>
      </c>
      <c r="B7" s="40" t="s">
        <v>169</v>
      </c>
      <c r="C7" s="41" t="s">
        <v>170</v>
      </c>
      <c r="D7" s="41" t="s">
        <v>171</v>
      </c>
      <c r="E7" s="42" t="s">
        <v>172</v>
      </c>
      <c r="F7" s="43" t="s">
        <v>173</v>
      </c>
      <c r="G7" s="44" t="s">
        <v>167</v>
      </c>
    </row>
    <row r="8" spans="1:7" ht="40.049999999999997" customHeight="1" x14ac:dyDescent="0.25">
      <c r="A8" s="39" t="s">
        <v>174</v>
      </c>
      <c r="B8" s="40" t="s">
        <v>175</v>
      </c>
      <c r="C8" s="41" t="s">
        <v>176</v>
      </c>
      <c r="D8" s="41" t="s">
        <v>177</v>
      </c>
      <c r="E8" s="42" t="s">
        <v>178</v>
      </c>
      <c r="F8" s="43" t="s">
        <v>179</v>
      </c>
      <c r="G8" s="44" t="s">
        <v>167</v>
      </c>
    </row>
    <row r="9" spans="1:7" ht="40.049999999999997" customHeight="1" x14ac:dyDescent="0.25">
      <c r="A9" s="39" t="s">
        <v>180</v>
      </c>
      <c r="B9" s="40" t="s">
        <v>181</v>
      </c>
      <c r="C9" s="41" t="s">
        <v>182</v>
      </c>
      <c r="D9" s="41" t="s">
        <v>183</v>
      </c>
      <c r="E9" s="42" t="s">
        <v>34</v>
      </c>
      <c r="F9" s="43" t="s">
        <v>184</v>
      </c>
      <c r="G9" s="44" t="s">
        <v>167</v>
      </c>
    </row>
    <row r="10" spans="1:7" ht="40.049999999999997" customHeight="1" x14ac:dyDescent="0.25">
      <c r="A10" s="39" t="s">
        <v>185</v>
      </c>
      <c r="B10" s="40" t="s">
        <v>186</v>
      </c>
      <c r="C10" s="41" t="s">
        <v>187</v>
      </c>
      <c r="D10" s="41" t="s">
        <v>188</v>
      </c>
      <c r="E10" s="42" t="s">
        <v>189</v>
      </c>
      <c r="F10" s="43" t="s">
        <v>190</v>
      </c>
      <c r="G10" s="44" t="s">
        <v>167</v>
      </c>
    </row>
    <row r="11" spans="1:7" ht="40.049999999999997" customHeight="1" x14ac:dyDescent="0.25">
      <c r="A11" s="39" t="s">
        <v>191</v>
      </c>
      <c r="B11" s="40" t="s">
        <v>192</v>
      </c>
      <c r="C11" s="41" t="s">
        <v>193</v>
      </c>
      <c r="D11" s="41" t="s">
        <v>194</v>
      </c>
      <c r="E11" s="42" t="s">
        <v>195</v>
      </c>
      <c r="F11" s="43" t="s">
        <v>196</v>
      </c>
      <c r="G11" s="44" t="s">
        <v>167</v>
      </c>
    </row>
    <row r="12" spans="1:7" ht="40.049999999999997" customHeight="1" x14ac:dyDescent="0.25">
      <c r="A12" s="39" t="s">
        <v>197</v>
      </c>
      <c r="B12" s="40" t="s">
        <v>198</v>
      </c>
      <c r="C12" s="41" t="s">
        <v>199</v>
      </c>
      <c r="D12" s="41" t="s">
        <v>200</v>
      </c>
      <c r="E12" s="42" t="s">
        <v>201</v>
      </c>
      <c r="F12" s="43" t="s">
        <v>202</v>
      </c>
      <c r="G12" s="44" t="s">
        <v>167</v>
      </c>
    </row>
    <row r="14" spans="1:7" ht="19.95" customHeight="1" x14ac:dyDescent="0.25">
      <c r="A14" s="75" t="s">
        <v>203</v>
      </c>
      <c r="B14" s="76"/>
      <c r="C14" s="76"/>
      <c r="D14" s="76"/>
      <c r="E14" s="76"/>
      <c r="F14" s="76"/>
      <c r="G14" s="76"/>
    </row>
    <row r="15" spans="1:7" ht="16.05" customHeight="1" x14ac:dyDescent="0.25">
      <c r="A15" s="10"/>
      <c r="B15" s="82" t="s">
        <v>204</v>
      </c>
      <c r="C15" s="68"/>
      <c r="D15" s="68"/>
      <c r="E15" s="68"/>
      <c r="F15" s="68"/>
      <c r="G15" s="68"/>
    </row>
    <row r="16" spans="1:7" ht="16.05" customHeight="1" x14ac:dyDescent="0.25">
      <c r="A16" s="45"/>
      <c r="B16" s="78" t="s">
        <v>205</v>
      </c>
      <c r="C16" s="68"/>
      <c r="D16" s="68"/>
      <c r="E16" s="68"/>
      <c r="F16" s="68"/>
      <c r="G16" s="68"/>
    </row>
    <row r="17" spans="1:7" ht="16.05" customHeight="1" x14ac:dyDescent="0.25">
      <c r="A17" s="46"/>
      <c r="B17" s="80" t="s">
        <v>206</v>
      </c>
      <c r="C17" s="68"/>
      <c r="D17" s="68"/>
      <c r="E17" s="68"/>
      <c r="F17" s="68"/>
      <c r="G17" s="68"/>
    </row>
    <row r="18" spans="1:7" ht="16.05" customHeight="1" x14ac:dyDescent="0.25">
      <c r="A18" s="47"/>
      <c r="B18" s="81" t="s">
        <v>207</v>
      </c>
      <c r="C18" s="68"/>
      <c r="D18" s="68"/>
      <c r="E18" s="68"/>
      <c r="F18" s="68"/>
      <c r="G18" s="68"/>
    </row>
    <row r="19" spans="1:7" ht="16.05" customHeight="1" x14ac:dyDescent="0.25">
      <c r="A19" s="48"/>
      <c r="B19" s="79" t="s">
        <v>208</v>
      </c>
      <c r="C19" s="68"/>
      <c r="D19" s="68"/>
      <c r="E19" s="68"/>
      <c r="F19" s="68"/>
      <c r="G19" s="68"/>
    </row>
  </sheetData>
  <mergeCells count="8">
    <mergeCell ref="B16:G16"/>
    <mergeCell ref="A14:G14"/>
    <mergeCell ref="B19:G19"/>
    <mergeCell ref="A1:G1"/>
    <mergeCell ref="B17:G17"/>
    <mergeCell ref="A2:G2"/>
    <mergeCell ref="B18:G18"/>
    <mergeCell ref="B15:G15"/>
  </mergeCells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8"/>
  <sheetViews>
    <sheetView showGridLines="0" topLeftCell="A5" workbookViewId="0">
      <selection activeCell="G25" sqref="G25"/>
    </sheetView>
  </sheetViews>
  <sheetFormatPr defaultRowHeight="13.8" x14ac:dyDescent="0.25"/>
  <cols>
    <col min="1" max="1" width="6" customWidth="1"/>
    <col min="2" max="3" width="16" customWidth="1"/>
    <col min="4" max="4" width="56" customWidth="1"/>
    <col min="5" max="5" width="12" customWidth="1"/>
    <col min="6" max="6" width="16" customWidth="1"/>
  </cols>
  <sheetData>
    <row r="1" spans="1:6" ht="22.05" customHeight="1" x14ac:dyDescent="0.25">
      <c r="A1" s="71" t="s">
        <v>209</v>
      </c>
      <c r="B1" s="72"/>
      <c r="C1" s="72"/>
      <c r="D1" s="72"/>
      <c r="E1" s="72"/>
      <c r="F1" s="72"/>
    </row>
    <row r="2" spans="1:6" ht="16.05" customHeight="1" x14ac:dyDescent="0.25">
      <c r="A2" s="67" t="s">
        <v>210</v>
      </c>
      <c r="B2" s="68"/>
      <c r="C2" s="68"/>
      <c r="D2" s="68"/>
      <c r="E2" s="68"/>
      <c r="F2" s="68"/>
    </row>
    <row r="4" spans="1:6" ht="19.95" customHeight="1" x14ac:dyDescent="0.25">
      <c r="A4" s="75" t="s">
        <v>211</v>
      </c>
      <c r="B4" s="76"/>
      <c r="C4" s="76"/>
      <c r="D4" s="76"/>
      <c r="E4" s="76"/>
      <c r="F4" s="76"/>
    </row>
    <row r="5" spans="1:6" ht="22.05" customHeight="1" x14ac:dyDescent="0.25">
      <c r="A5" s="3" t="s">
        <v>4</v>
      </c>
      <c r="B5" s="3" t="s">
        <v>212</v>
      </c>
      <c r="C5" s="3" t="s">
        <v>213</v>
      </c>
      <c r="D5" s="3" t="s">
        <v>214</v>
      </c>
      <c r="E5" s="3" t="s">
        <v>215</v>
      </c>
      <c r="F5" s="3" t="s">
        <v>68</v>
      </c>
    </row>
    <row r="6" spans="1:6" ht="34.049999999999997" customHeight="1" x14ac:dyDescent="0.25">
      <c r="A6" s="4">
        <v>1</v>
      </c>
      <c r="B6" s="5" t="s">
        <v>11</v>
      </c>
      <c r="C6" s="4" t="s">
        <v>216</v>
      </c>
      <c r="D6" s="6" t="s">
        <v>217</v>
      </c>
      <c r="E6" s="49">
        <v>2</v>
      </c>
      <c r="F6" s="5" t="s">
        <v>56</v>
      </c>
    </row>
    <row r="7" spans="1:6" ht="34.049999999999997" customHeight="1" x14ac:dyDescent="0.25">
      <c r="A7" s="7">
        <v>2</v>
      </c>
      <c r="B7" s="8" t="s">
        <v>11</v>
      </c>
      <c r="C7" s="7" t="s">
        <v>216</v>
      </c>
      <c r="D7" s="9" t="s">
        <v>218</v>
      </c>
      <c r="E7" s="50">
        <v>4</v>
      </c>
      <c r="F7" s="5" t="s">
        <v>56</v>
      </c>
    </row>
    <row r="8" spans="1:6" ht="34.049999999999997" customHeight="1" x14ac:dyDescent="0.25">
      <c r="A8" s="4">
        <v>3</v>
      </c>
      <c r="B8" s="5" t="s">
        <v>17</v>
      </c>
      <c r="C8" s="4" t="s">
        <v>35</v>
      </c>
      <c r="D8" s="6" t="s">
        <v>219</v>
      </c>
      <c r="E8" s="49">
        <v>5</v>
      </c>
      <c r="F8" s="5" t="s">
        <v>56</v>
      </c>
    </row>
    <row r="9" spans="1:6" ht="34.049999999999997" customHeight="1" x14ac:dyDescent="0.25">
      <c r="A9" s="7">
        <v>4</v>
      </c>
      <c r="B9" s="8" t="s">
        <v>17</v>
      </c>
      <c r="C9" s="7" t="s">
        <v>23</v>
      </c>
      <c r="D9" s="9" t="s">
        <v>220</v>
      </c>
      <c r="E9" s="50">
        <v>5</v>
      </c>
      <c r="F9" s="5" t="s">
        <v>56</v>
      </c>
    </row>
    <row r="10" spans="1:6" ht="34.049999999999997" customHeight="1" x14ac:dyDescent="0.25">
      <c r="A10" s="4">
        <v>5</v>
      </c>
      <c r="B10" s="5" t="s">
        <v>23</v>
      </c>
      <c r="C10" s="4" t="s">
        <v>29</v>
      </c>
      <c r="D10" s="6" t="s">
        <v>221</v>
      </c>
      <c r="E10" s="49">
        <v>5</v>
      </c>
      <c r="F10" s="5" t="s">
        <v>56</v>
      </c>
    </row>
    <row r="11" spans="1:6" ht="34.049999999999997" customHeight="1" x14ac:dyDescent="0.25">
      <c r="A11" s="7">
        <v>6</v>
      </c>
      <c r="B11" s="8" t="s">
        <v>23</v>
      </c>
      <c r="C11" s="7" t="s">
        <v>47</v>
      </c>
      <c r="D11" s="9" t="s">
        <v>222</v>
      </c>
      <c r="E11" s="50">
        <v>5</v>
      </c>
      <c r="F11" s="5" t="s">
        <v>56</v>
      </c>
    </row>
    <row r="12" spans="1:6" ht="34.049999999999997" customHeight="1" x14ac:dyDescent="0.25">
      <c r="A12" s="4">
        <v>7</v>
      </c>
      <c r="B12" s="5" t="s">
        <v>29</v>
      </c>
      <c r="C12" s="4" t="s">
        <v>47</v>
      </c>
      <c r="D12" s="6" t="s">
        <v>223</v>
      </c>
      <c r="E12" s="49">
        <v>5</v>
      </c>
      <c r="F12" s="5" t="s">
        <v>56</v>
      </c>
    </row>
    <row r="13" spans="1:6" ht="34.049999999999997" customHeight="1" x14ac:dyDescent="0.25">
      <c r="A13" s="7">
        <v>8</v>
      </c>
      <c r="B13" s="8" t="s">
        <v>35</v>
      </c>
      <c r="C13" s="7" t="s">
        <v>224</v>
      </c>
      <c r="D13" s="9" t="s">
        <v>225</v>
      </c>
      <c r="E13" s="50">
        <v>5</v>
      </c>
      <c r="F13" s="5" t="s">
        <v>56</v>
      </c>
    </row>
    <row r="14" spans="1:6" ht="34.049999999999997" customHeight="1" x14ac:dyDescent="0.25">
      <c r="A14" s="4">
        <v>9</v>
      </c>
      <c r="B14" s="5" t="s">
        <v>41</v>
      </c>
      <c r="C14" s="4" t="s">
        <v>23</v>
      </c>
      <c r="D14" s="6" t="s">
        <v>226</v>
      </c>
      <c r="E14" s="49">
        <v>5</v>
      </c>
      <c r="F14" s="5" t="s">
        <v>56</v>
      </c>
    </row>
    <row r="15" spans="1:6" ht="34.049999999999997" customHeight="1" x14ac:dyDescent="0.25">
      <c r="A15" s="7">
        <v>10</v>
      </c>
      <c r="B15" s="8" t="s">
        <v>47</v>
      </c>
      <c r="C15" s="7" t="s">
        <v>216</v>
      </c>
      <c r="D15" s="9" t="s">
        <v>227</v>
      </c>
      <c r="E15" s="50">
        <v>6</v>
      </c>
      <c r="F15" s="5" t="s">
        <v>56</v>
      </c>
    </row>
    <row r="16" spans="1:6" ht="34.049999999999997" customHeight="1" x14ac:dyDescent="0.25">
      <c r="A16" s="4">
        <v>11</v>
      </c>
      <c r="B16" s="5" t="s">
        <v>47</v>
      </c>
      <c r="C16" s="4" t="s">
        <v>23</v>
      </c>
      <c r="D16" s="6" t="s">
        <v>228</v>
      </c>
      <c r="E16" s="49">
        <v>6</v>
      </c>
      <c r="F16" s="5" t="s">
        <v>56</v>
      </c>
    </row>
    <row r="18" spans="1:6" ht="19.95" customHeight="1" x14ac:dyDescent="0.25">
      <c r="A18" s="75" t="s">
        <v>229</v>
      </c>
      <c r="B18" s="76"/>
      <c r="C18" s="76"/>
      <c r="D18" s="76"/>
      <c r="E18" s="76"/>
      <c r="F18" s="76"/>
    </row>
    <row r="19" spans="1:6" ht="22.05" customHeight="1" x14ac:dyDescent="0.25">
      <c r="A19" s="3" t="s">
        <v>230</v>
      </c>
      <c r="B19" s="83" t="s">
        <v>231</v>
      </c>
      <c r="C19" s="51"/>
      <c r="D19" s="83" t="s">
        <v>232</v>
      </c>
      <c r="E19" s="51"/>
      <c r="F19" s="3" t="s">
        <v>68</v>
      </c>
    </row>
    <row r="20" spans="1:6" ht="30" customHeight="1" x14ac:dyDescent="0.25">
      <c r="A20" s="5">
        <v>1</v>
      </c>
      <c r="B20" s="5" t="s">
        <v>11</v>
      </c>
      <c r="C20" s="52"/>
      <c r="D20" s="6" t="s">
        <v>233</v>
      </c>
      <c r="E20" s="52"/>
      <c r="F20" s="5" t="s">
        <v>56</v>
      </c>
    </row>
    <row r="21" spans="1:6" ht="30" customHeight="1" x14ac:dyDescent="0.25">
      <c r="A21" s="8">
        <v>2</v>
      </c>
      <c r="B21" s="8" t="s">
        <v>17</v>
      </c>
      <c r="C21" s="53"/>
      <c r="D21" s="9" t="s">
        <v>234</v>
      </c>
      <c r="E21" s="53"/>
      <c r="F21" s="5" t="s">
        <v>56</v>
      </c>
    </row>
    <row r="22" spans="1:6" ht="30" customHeight="1" x14ac:dyDescent="0.25">
      <c r="A22" s="5">
        <v>3</v>
      </c>
      <c r="B22" s="5" t="s">
        <v>23</v>
      </c>
      <c r="C22" s="52"/>
      <c r="D22" s="6" t="s">
        <v>235</v>
      </c>
      <c r="E22" s="52"/>
      <c r="F22" s="5" t="s">
        <v>56</v>
      </c>
    </row>
    <row r="23" spans="1:6" ht="30" customHeight="1" x14ac:dyDescent="0.25">
      <c r="A23" s="8">
        <v>4</v>
      </c>
      <c r="B23" s="8" t="s">
        <v>29</v>
      </c>
      <c r="C23" s="53"/>
      <c r="D23" s="9" t="s">
        <v>236</v>
      </c>
      <c r="E23" s="53"/>
      <c r="F23" s="5" t="s">
        <v>56</v>
      </c>
    </row>
    <row r="24" spans="1:6" ht="30" customHeight="1" x14ac:dyDescent="0.25">
      <c r="A24" s="5">
        <v>5</v>
      </c>
      <c r="B24" s="5" t="s">
        <v>47</v>
      </c>
      <c r="C24" s="52"/>
      <c r="D24" s="6" t="s">
        <v>237</v>
      </c>
      <c r="E24" s="52"/>
      <c r="F24" s="5" t="s">
        <v>56</v>
      </c>
    </row>
    <row r="25" spans="1:6" ht="30" customHeight="1" x14ac:dyDescent="0.25">
      <c r="A25" s="8">
        <v>6</v>
      </c>
      <c r="B25" s="8" t="s">
        <v>35</v>
      </c>
      <c r="C25" s="53"/>
      <c r="D25" s="9" t="s">
        <v>238</v>
      </c>
      <c r="E25" s="53"/>
      <c r="F25" s="5" t="s">
        <v>56</v>
      </c>
    </row>
    <row r="26" spans="1:6" ht="30" customHeight="1" x14ac:dyDescent="0.25">
      <c r="A26" s="5">
        <v>7</v>
      </c>
      <c r="B26" s="5" t="s">
        <v>23</v>
      </c>
      <c r="C26" s="52"/>
      <c r="D26" s="6" t="s">
        <v>239</v>
      </c>
      <c r="E26" s="52"/>
      <c r="F26" s="5" t="s">
        <v>56</v>
      </c>
    </row>
    <row r="27" spans="1:6" ht="30" customHeight="1" x14ac:dyDescent="0.25">
      <c r="A27" s="8">
        <v>8</v>
      </c>
      <c r="B27" s="8" t="s">
        <v>240</v>
      </c>
      <c r="C27" s="53"/>
      <c r="D27" s="9" t="s">
        <v>241</v>
      </c>
      <c r="E27" s="53"/>
      <c r="F27" s="5" t="s">
        <v>56</v>
      </c>
    </row>
    <row r="28" spans="1:6" ht="30" customHeight="1" x14ac:dyDescent="0.25">
      <c r="A28" s="5">
        <v>9</v>
      </c>
      <c r="B28" s="5" t="s">
        <v>242</v>
      </c>
      <c r="C28" s="52"/>
      <c r="D28" s="6" t="s">
        <v>243</v>
      </c>
      <c r="E28" s="52"/>
      <c r="F28" s="5" t="s">
        <v>56</v>
      </c>
    </row>
  </sheetData>
  <mergeCells count="6">
    <mergeCell ref="A2:F2"/>
    <mergeCell ref="A1:F1"/>
    <mergeCell ref="D19"/>
    <mergeCell ref="A18:F18"/>
    <mergeCell ref="A4:F4"/>
    <mergeCell ref="B19"/>
  </mergeCells>
  <conditionalFormatting sqref="F6:F16">
    <cfRule type="cellIs" dxfId="7" priority="1" operator="equal">
      <formula>"Chưa bắt đầu"</formula>
    </cfRule>
    <cfRule type="cellIs" dxfId="6" priority="2" operator="equal">
      <formula>"Đang thực hiện"</formula>
    </cfRule>
    <cfRule type="cellIs" dxfId="5" priority="3" operator="equal">
      <formula>"Hoàn thành"</formula>
    </cfRule>
    <cfRule type="cellIs" dxfId="4" priority="4" operator="equal">
      <formula>"Trễ hạn"</formula>
    </cfRule>
  </conditionalFormatting>
  <conditionalFormatting sqref="F20:F28">
    <cfRule type="cellIs" dxfId="3" priority="5" operator="equal">
      <formula>"Chưa bắt đầu"</formula>
    </cfRule>
    <cfRule type="cellIs" dxfId="2" priority="6" operator="equal">
      <formula>"Đang thực hiện"</formula>
    </cfRule>
    <cfRule type="cellIs" dxfId="1" priority="7" operator="equal">
      <formula>"Hoàn thành"</formula>
    </cfRule>
    <cfRule type="cellIs" dxfId="0" priority="8" operator="equal">
      <formula>"Trễ hạn"</formula>
    </cfRule>
  </conditionalFormatting>
  <dataValidations count="1">
    <dataValidation type="list" allowBlank="1" sqref="F6:F16 F20:F28" xr:uid="{00000000-0002-0000-0300-000000000000}">
      <formula1>"Chưa bắt đầu,Đang thực hiện,Hoàn thành,Trễ hạn"</formula1>
    </dataValidation>
  </dataValidations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6"/>
  <sheetViews>
    <sheetView showGridLines="0" workbookViewId="0">
      <selection activeCell="H17" sqref="H17"/>
    </sheetView>
  </sheetViews>
  <sheetFormatPr defaultRowHeight="13.8" x14ac:dyDescent="0.25"/>
  <cols>
    <col min="1" max="1" width="12" customWidth="1"/>
    <col min="2" max="2" width="26" customWidth="1"/>
    <col min="3" max="5" width="15" customWidth="1"/>
    <col min="6" max="6" width="12" customWidth="1"/>
    <col min="7" max="7" width="10" customWidth="1"/>
    <col min="8" max="8" width="13" customWidth="1"/>
  </cols>
  <sheetData>
    <row r="1" spans="1:8" ht="22.05" customHeight="1" x14ac:dyDescent="0.25">
      <c r="A1" s="71" t="s">
        <v>244</v>
      </c>
      <c r="B1" s="72"/>
      <c r="C1" s="72"/>
      <c r="D1" s="72"/>
      <c r="E1" s="72"/>
      <c r="F1" s="72"/>
      <c r="G1" s="72"/>
      <c r="H1" s="72"/>
    </row>
    <row r="2" spans="1:8" ht="16.05" customHeight="1" x14ac:dyDescent="0.25">
      <c r="A2" s="67" t="s">
        <v>245</v>
      </c>
      <c r="B2" s="68"/>
      <c r="C2" s="68"/>
      <c r="D2" s="68"/>
      <c r="E2" s="68"/>
      <c r="F2" s="68"/>
      <c r="G2" s="68"/>
      <c r="H2" s="68"/>
    </row>
    <row r="4" spans="1:8" ht="28.05" customHeight="1" x14ac:dyDescent="0.25">
      <c r="A4" s="3" t="s">
        <v>5</v>
      </c>
      <c r="B4" s="3" t="s">
        <v>6</v>
      </c>
      <c r="C4" s="3" t="s">
        <v>246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247</v>
      </c>
    </row>
    <row r="5" spans="1:8" ht="19.95" customHeight="1" x14ac:dyDescent="0.25">
      <c r="A5" s="5" t="s">
        <v>11</v>
      </c>
      <c r="B5" s="6" t="s">
        <v>12</v>
      </c>
      <c r="C5" s="4">
        <f>COUNTIF('Kế hoạch 6 tuần'!$D$5:$D$46,$A5)</f>
        <v>6</v>
      </c>
      <c r="D5" s="4">
        <f>COUNTIFS('Kế hoạch 6 tuần'!$D$5:$D$46,$A5,'Kế hoạch 6 tuần'!$K$5:$K$46,"Chưa bắt đầu")</f>
        <v>0</v>
      </c>
      <c r="E5" s="4">
        <f>COUNTIFS('Kế hoạch 6 tuần'!$D$5:$D$46,$A5,'Kế hoạch 6 tuần'!$K$5:$K$46,"Đang thực hiện")</f>
        <v>0</v>
      </c>
      <c r="F5" s="4">
        <f>COUNTIFS('Kế hoạch 6 tuần'!$D$5:$D$46,$A5,'Kế hoạch 6 tuần'!$K$5:$K$46,"Hoàn thành")</f>
        <v>6</v>
      </c>
      <c r="G5" s="4">
        <f>COUNTIFS('Kế hoạch 6 tuần'!$D$5:$D$46,$A5,'Kế hoạch 6 tuần'!$K$5:$K$46,"Trễ hạn")</f>
        <v>0</v>
      </c>
      <c r="H5" s="54">
        <f t="shared" ref="H5:H12" si="0">IFERROR(F5/C5,0)</f>
        <v>1</v>
      </c>
    </row>
    <row r="6" spans="1:8" ht="19.95" customHeight="1" x14ac:dyDescent="0.25">
      <c r="A6" s="8" t="s">
        <v>17</v>
      </c>
      <c r="B6" s="9" t="s">
        <v>18</v>
      </c>
      <c r="C6" s="7">
        <f>COUNTIF('Kế hoạch 6 tuần'!$D$5:$D$46,$A6)</f>
        <v>6</v>
      </c>
      <c r="D6" s="7">
        <f>COUNTIFS('Kế hoạch 6 tuần'!$D$5:$D$46,$A6,'Kế hoạch 6 tuần'!$K$5:$K$46,"Chưa bắt đầu")</f>
        <v>0</v>
      </c>
      <c r="E6" s="7">
        <f>COUNTIFS('Kế hoạch 6 tuần'!$D$5:$D$46,$A6,'Kế hoạch 6 tuần'!$K$5:$K$46,"Đang thực hiện")</f>
        <v>0</v>
      </c>
      <c r="F6" s="7">
        <f>COUNTIFS('Kế hoạch 6 tuần'!$D$5:$D$46,$A6,'Kế hoạch 6 tuần'!$K$5:$K$46,"Hoàn thành")</f>
        <v>6</v>
      </c>
      <c r="G6" s="7">
        <f>COUNTIFS('Kế hoạch 6 tuần'!$D$5:$D$46,$A6,'Kế hoạch 6 tuần'!$K$5:$K$46,"Trễ hạn")</f>
        <v>0</v>
      </c>
      <c r="H6" s="55">
        <f t="shared" si="0"/>
        <v>1</v>
      </c>
    </row>
    <row r="7" spans="1:8" ht="19.95" customHeight="1" x14ac:dyDescent="0.25">
      <c r="A7" s="5" t="s">
        <v>23</v>
      </c>
      <c r="B7" s="6" t="s">
        <v>24</v>
      </c>
      <c r="C7" s="4">
        <f>COUNTIF('Kế hoạch 6 tuần'!$D$5:$D$46,$A7)</f>
        <v>6</v>
      </c>
      <c r="D7" s="4">
        <f>COUNTIFS('Kế hoạch 6 tuần'!$D$5:$D$46,$A7,'Kế hoạch 6 tuần'!$K$5:$K$46,"Chưa bắt đầu")</f>
        <v>0</v>
      </c>
      <c r="E7" s="4">
        <f>COUNTIFS('Kế hoạch 6 tuần'!$D$5:$D$46,$A7,'Kế hoạch 6 tuần'!$K$5:$K$46,"Đang thực hiện")</f>
        <v>0</v>
      </c>
      <c r="F7" s="4">
        <f>COUNTIFS('Kế hoạch 6 tuần'!$D$5:$D$46,$A7,'Kế hoạch 6 tuần'!$K$5:$K$46,"Hoàn thành")</f>
        <v>6</v>
      </c>
      <c r="G7" s="4">
        <f>COUNTIFS('Kế hoạch 6 tuần'!$D$5:$D$46,$A7,'Kế hoạch 6 tuần'!$K$5:$K$46,"Trễ hạn")</f>
        <v>0</v>
      </c>
      <c r="H7" s="54">
        <f t="shared" si="0"/>
        <v>1</v>
      </c>
    </row>
    <row r="8" spans="1:8" ht="19.95" customHeight="1" x14ac:dyDescent="0.25">
      <c r="A8" s="8" t="s">
        <v>29</v>
      </c>
      <c r="B8" s="9" t="s">
        <v>30</v>
      </c>
      <c r="C8" s="7">
        <f>COUNTIF('Kế hoạch 6 tuần'!$D$5:$D$46,$A8)</f>
        <v>6</v>
      </c>
      <c r="D8" s="7">
        <f>COUNTIFS('Kế hoạch 6 tuần'!$D$5:$D$46,$A8,'Kế hoạch 6 tuần'!$K$5:$K$46,"Chưa bắt đầu")</f>
        <v>0</v>
      </c>
      <c r="E8" s="7">
        <f>COUNTIFS('Kế hoạch 6 tuần'!$D$5:$D$46,$A8,'Kế hoạch 6 tuần'!$K$5:$K$46,"Đang thực hiện")</f>
        <v>0</v>
      </c>
      <c r="F8" s="7">
        <f>COUNTIFS('Kế hoạch 6 tuần'!$D$5:$D$46,$A8,'Kế hoạch 6 tuần'!$K$5:$K$46,"Hoàn thành")</f>
        <v>6</v>
      </c>
      <c r="G8" s="7">
        <f>COUNTIFS('Kế hoạch 6 tuần'!$D$5:$D$46,$A8,'Kế hoạch 6 tuần'!$K$5:$K$46,"Trễ hạn")</f>
        <v>0</v>
      </c>
      <c r="H8" s="55">
        <f t="shared" si="0"/>
        <v>1</v>
      </c>
    </row>
    <row r="9" spans="1:8" ht="19.95" customHeight="1" x14ac:dyDescent="0.25">
      <c r="A9" s="5" t="s">
        <v>35</v>
      </c>
      <c r="B9" s="6" t="s">
        <v>36</v>
      </c>
      <c r="C9" s="4">
        <f>COUNTIF('Kế hoạch 6 tuần'!$D$5:$D$46,$A9)</f>
        <v>6</v>
      </c>
      <c r="D9" s="4">
        <f>COUNTIFS('Kế hoạch 6 tuần'!$D$5:$D$46,$A9,'Kế hoạch 6 tuần'!$K$5:$K$46,"Chưa bắt đầu")</f>
        <v>5</v>
      </c>
      <c r="E9" s="4">
        <f>COUNTIFS('Kế hoạch 6 tuần'!$D$5:$D$46,$A9,'Kế hoạch 6 tuần'!$K$5:$K$46,"Đang thực hiện")</f>
        <v>0</v>
      </c>
      <c r="F9" s="4">
        <f>COUNTIFS('Kế hoạch 6 tuần'!$D$5:$D$46,$A9,'Kế hoạch 6 tuần'!$K$5:$K$46,"Hoàn thành")</f>
        <v>1</v>
      </c>
      <c r="G9" s="4">
        <f>COUNTIFS('Kế hoạch 6 tuần'!$D$5:$D$46,$A9,'Kế hoạch 6 tuần'!$K$5:$K$46,"Trễ hạn")</f>
        <v>0</v>
      </c>
      <c r="H9" s="54">
        <f t="shared" si="0"/>
        <v>0.16666666666666666</v>
      </c>
    </row>
    <row r="10" spans="1:8" ht="19.95" customHeight="1" x14ac:dyDescent="0.25">
      <c r="A10" s="8" t="s">
        <v>41</v>
      </c>
      <c r="B10" s="9" t="s">
        <v>42</v>
      </c>
      <c r="C10" s="7">
        <f>COUNTIF('Kế hoạch 6 tuần'!$D$5:$D$46,$A10)</f>
        <v>6</v>
      </c>
      <c r="D10" s="7">
        <f>COUNTIFS('Kế hoạch 6 tuần'!$D$5:$D$46,$A10,'Kế hoạch 6 tuần'!$K$5:$K$46,"Chưa bắt đầu")</f>
        <v>0</v>
      </c>
      <c r="E10" s="7">
        <f>COUNTIFS('Kế hoạch 6 tuần'!$D$5:$D$46,$A10,'Kế hoạch 6 tuần'!$K$5:$K$46,"Đang thực hiện")</f>
        <v>0</v>
      </c>
      <c r="F10" s="7">
        <f>COUNTIFS('Kế hoạch 6 tuần'!$D$5:$D$46,$A10,'Kế hoạch 6 tuần'!$K$5:$K$46,"Hoàn thành")</f>
        <v>6</v>
      </c>
      <c r="G10" s="7">
        <f>COUNTIFS('Kế hoạch 6 tuần'!$D$5:$D$46,$A10,'Kế hoạch 6 tuần'!$K$5:$K$46,"Trễ hạn")</f>
        <v>0</v>
      </c>
      <c r="H10" s="55">
        <f t="shared" si="0"/>
        <v>1</v>
      </c>
    </row>
    <row r="11" spans="1:8" ht="19.95" customHeight="1" x14ac:dyDescent="0.25">
      <c r="A11" s="5" t="s">
        <v>47</v>
      </c>
      <c r="B11" s="6" t="s">
        <v>48</v>
      </c>
      <c r="C11" s="4">
        <f>COUNTIF('Kế hoạch 6 tuần'!$D$5:$D$46,$A11)</f>
        <v>6</v>
      </c>
      <c r="D11" s="4">
        <f>COUNTIFS('Kế hoạch 6 tuần'!$D$5:$D$46,$A11,'Kế hoạch 6 tuần'!$K$5:$K$46,"Chưa bắt đầu")</f>
        <v>0</v>
      </c>
      <c r="E11" s="4">
        <f>COUNTIFS('Kế hoạch 6 tuần'!$D$5:$D$46,$A11,'Kế hoạch 6 tuần'!$K$5:$K$46,"Đang thực hiện")</f>
        <v>0</v>
      </c>
      <c r="F11" s="4">
        <f>COUNTIFS('Kế hoạch 6 tuần'!$D$5:$D$46,$A11,'Kế hoạch 6 tuần'!$K$5:$K$46,"Hoàn thành")</f>
        <v>6</v>
      </c>
      <c r="G11" s="4">
        <f>COUNTIFS('Kế hoạch 6 tuần'!$D$5:$D$46,$A11,'Kế hoạch 6 tuần'!$K$5:$K$46,"Trễ hạn")</f>
        <v>0</v>
      </c>
      <c r="H11" s="54">
        <f t="shared" si="0"/>
        <v>1</v>
      </c>
    </row>
    <row r="12" spans="1:8" ht="19.95" customHeight="1" x14ac:dyDescent="0.25">
      <c r="A12" s="69" t="s">
        <v>248</v>
      </c>
      <c r="B12" s="70"/>
      <c r="C12" s="56">
        <f>SUM(C5:C11)</f>
        <v>42</v>
      </c>
      <c r="D12" s="56">
        <f>SUM(D5:D11)</f>
        <v>5</v>
      </c>
      <c r="E12" s="56">
        <f>SUM(E5:E11)</f>
        <v>0</v>
      </c>
      <c r="F12" s="56">
        <f>SUM(F5:F11)</f>
        <v>37</v>
      </c>
      <c r="G12" s="56">
        <f>SUM(G5:G11)</f>
        <v>0</v>
      </c>
      <c r="H12" s="57">
        <f t="shared" si="0"/>
        <v>0.88095238095238093</v>
      </c>
    </row>
    <row r="14" spans="1:8" ht="22.05" customHeight="1" x14ac:dyDescent="0.25">
      <c r="A14" s="3" t="s">
        <v>61</v>
      </c>
      <c r="B14" s="3" t="s">
        <v>62</v>
      </c>
      <c r="C14" s="3" t="s">
        <v>249</v>
      </c>
      <c r="D14" s="3" t="s">
        <v>56</v>
      </c>
      <c r="E14" s="3" t="s">
        <v>247</v>
      </c>
    </row>
    <row r="15" spans="1:8" ht="19.95" customHeight="1" x14ac:dyDescent="0.25">
      <c r="A15" s="24">
        <v>1</v>
      </c>
      <c r="B15" s="6" t="s">
        <v>70</v>
      </c>
      <c r="C15" s="4">
        <f>COUNTIF('Kế hoạch 6 tuần'!$B$5:$B$46,$A15)</f>
        <v>7</v>
      </c>
      <c r="D15" s="4">
        <f>COUNTIFS('Kế hoạch 6 tuần'!$B$5:$B$46,$A15,'Kế hoạch 6 tuần'!$K$5:$K$46,"Hoàn thành")</f>
        <v>6</v>
      </c>
      <c r="E15" s="54">
        <f t="shared" ref="E15:E20" si="1">IFERROR(D15/C15,0)</f>
        <v>0.8571428571428571</v>
      </c>
    </row>
    <row r="16" spans="1:8" ht="19.95" customHeight="1" x14ac:dyDescent="0.25">
      <c r="A16" s="58">
        <v>2</v>
      </c>
      <c r="B16" s="9" t="s">
        <v>82</v>
      </c>
      <c r="C16" s="7">
        <f>COUNTIF('Kế hoạch 6 tuần'!$B$5:$B$46,$A16)</f>
        <v>7</v>
      </c>
      <c r="D16" s="7">
        <f>COUNTIFS('Kế hoạch 6 tuần'!$B$5:$B$46,$A16,'Kế hoạch 6 tuần'!$K$5:$K$46,"Hoàn thành")</f>
        <v>6</v>
      </c>
      <c r="E16" s="55">
        <f t="shared" si="1"/>
        <v>0.8571428571428571</v>
      </c>
    </row>
    <row r="17" spans="1:5" ht="19.95" customHeight="1" x14ac:dyDescent="0.25">
      <c r="A17" s="24">
        <v>3</v>
      </c>
      <c r="B17" s="6" t="s">
        <v>93</v>
      </c>
      <c r="C17" s="4">
        <f>COUNTIF('Kế hoạch 6 tuần'!$B$5:$B$46,$A17)</f>
        <v>7</v>
      </c>
      <c r="D17" s="4">
        <f>COUNTIFS('Kế hoạch 6 tuần'!$B$5:$B$46,$A17,'Kế hoạch 6 tuần'!$K$5:$K$46,"Hoàn thành")</f>
        <v>6</v>
      </c>
      <c r="E17" s="54">
        <f t="shared" si="1"/>
        <v>0.8571428571428571</v>
      </c>
    </row>
    <row r="18" spans="1:5" ht="19.95" customHeight="1" x14ac:dyDescent="0.25">
      <c r="A18" s="58">
        <v>4</v>
      </c>
      <c r="B18" s="9" t="s">
        <v>107</v>
      </c>
      <c r="C18" s="7">
        <f>COUNTIF('Kế hoạch 6 tuần'!$B$5:$B$46,$A18)</f>
        <v>7</v>
      </c>
      <c r="D18" s="7">
        <f>COUNTIFS('Kế hoạch 6 tuần'!$B$5:$B$46,$A18,'Kế hoạch 6 tuần'!$K$5:$K$46,"Hoàn thành")</f>
        <v>6</v>
      </c>
      <c r="E18" s="55">
        <f t="shared" si="1"/>
        <v>0.8571428571428571</v>
      </c>
    </row>
    <row r="19" spans="1:5" ht="19.95" customHeight="1" x14ac:dyDescent="0.25">
      <c r="A19" s="24">
        <v>5</v>
      </c>
      <c r="B19" s="6" t="s">
        <v>116</v>
      </c>
      <c r="C19" s="4">
        <f>COUNTIF('Kế hoạch 6 tuần'!$B$5:$B$46,$A19)</f>
        <v>7</v>
      </c>
      <c r="D19" s="4">
        <f>COUNTIFS('Kế hoạch 6 tuần'!$B$5:$B$46,$A19,'Kế hoạch 6 tuần'!$K$5:$K$46,"Hoàn thành")</f>
        <v>6</v>
      </c>
      <c r="E19" s="54">
        <f t="shared" si="1"/>
        <v>0.8571428571428571</v>
      </c>
    </row>
    <row r="20" spans="1:5" ht="19.95" customHeight="1" x14ac:dyDescent="0.25">
      <c r="A20" s="58">
        <v>6</v>
      </c>
      <c r="B20" s="9" t="s">
        <v>131</v>
      </c>
      <c r="C20" s="7">
        <f>COUNTIF('Kế hoạch 6 tuần'!$B$5:$B$46,$A20)</f>
        <v>7</v>
      </c>
      <c r="D20" s="7">
        <f>COUNTIFS('Kế hoạch 6 tuần'!$B$5:$B$46,$A20,'Kế hoạch 6 tuần'!$K$5:$K$46,"Hoàn thành")</f>
        <v>7</v>
      </c>
      <c r="E20" s="55">
        <f t="shared" si="1"/>
        <v>1</v>
      </c>
    </row>
    <row r="22" spans="1:5" x14ac:dyDescent="0.25">
      <c r="A22" s="3" t="s">
        <v>68</v>
      </c>
      <c r="B22" s="3" t="s">
        <v>250</v>
      </c>
    </row>
    <row r="23" spans="1:5" x14ac:dyDescent="0.25">
      <c r="A23" s="59" t="s">
        <v>54</v>
      </c>
      <c r="B23" s="60">
        <f>D12</f>
        <v>5</v>
      </c>
    </row>
    <row r="24" spans="1:5" ht="26.4" x14ac:dyDescent="0.25">
      <c r="A24" s="61" t="s">
        <v>55</v>
      </c>
      <c r="B24" s="62">
        <f>E12</f>
        <v>0</v>
      </c>
    </row>
    <row r="25" spans="1:5" x14ac:dyDescent="0.25">
      <c r="A25" s="63" t="s">
        <v>56</v>
      </c>
      <c r="B25" s="64">
        <f>F12</f>
        <v>37</v>
      </c>
    </row>
    <row r="26" spans="1:5" x14ac:dyDescent="0.25">
      <c r="A26" s="65" t="s">
        <v>57</v>
      </c>
      <c r="B26" s="66">
        <f>G12</f>
        <v>0</v>
      </c>
    </row>
  </sheetData>
  <mergeCells count="3">
    <mergeCell ref="A2:H2"/>
    <mergeCell ref="A12:B12"/>
    <mergeCell ref="A1:H1"/>
  </mergeCells>
  <pageMargins left="0.3" right="0.3" top="0.4" bottom="0.4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Tổng quan</vt:lpstr>
      <vt:lpstr>Kế hoạch 6 tuần</vt:lpstr>
      <vt:lpstr>Gantt tổng quan</vt:lpstr>
      <vt:lpstr>Tích hợp &amp; Kiểm thử</vt:lpstr>
      <vt:lpstr>Dashboard</vt:lpstr>
      <vt:lpstr>Dashboard!Print_Area</vt:lpstr>
      <vt:lpstr>'Gantt tổng quan'!Print_Area</vt:lpstr>
      <vt:lpstr>'Kế hoạch 6 tuần'!Print_Area</vt:lpstr>
      <vt:lpstr>'Tích hợp &amp; Kiểm thử'!Print_Area</vt:lpstr>
      <vt:lpstr>'Tổng quan'!Print_Area</vt:lpstr>
      <vt:lpstr>Dashboard!Print_Titles</vt:lpstr>
      <vt:lpstr>'Gantt tổng quan'!Print_Titles</vt:lpstr>
      <vt:lpstr>'Kế hoạch 6 tuần'!Print_Titles</vt:lpstr>
      <vt:lpstr>'Tích hợp &amp; Kiểm thử'!Print_Titles</vt:lpstr>
      <vt:lpstr>'Tổng quan'!Print_Titles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khang</cp:lastModifiedBy>
  <dcterms:created xsi:type="dcterms:W3CDTF">2026-07-12T11:08:17Z</dcterms:created>
  <dcterms:modified xsi:type="dcterms:W3CDTF">2026-07-13T05:23:28Z</dcterms:modified>
</cp:coreProperties>
</file>